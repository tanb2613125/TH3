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16b1d28797ea8327/Desktop/Nhom8_TH_3/"/>
    </mc:Choice>
  </mc:AlternateContent>
  <xr:revisionPtr revIDLastSave="3" documentId="8_{D82956CC-3FD7-4898-977F-3F91D00E66E2}" xr6:coauthVersionLast="47" xr6:coauthVersionMax="47" xr10:uidLastSave="{5DB894AC-54E3-4E14-8C11-A6175B25D799}"/>
  <bookViews>
    <workbookView xWindow="-108" yWindow="-108" windowWidth="23256" windowHeight="12456" firstSheet="4" activeTab="4" xr2:uid="{00000000-000D-0000-FFFF-FFFF00000000}"/>
  </bookViews>
  <sheets>
    <sheet name="Tổng hợp điểm" sheetId="1" r:id="rId1"/>
    <sheet name="Điểm thực hành các buổi" sheetId="2" r:id="rId2"/>
    <sheet name="Điểm bài tập lớn" sheetId="3" r:id="rId3"/>
    <sheet name="Điểm lý thuyết" sheetId="4" r:id="rId4"/>
    <sheet name="Các bảng tham chiếu &amp; Thống kê" sheetId="5" r:id="rId5"/>
    <sheet name="Sinh viên điểm&lt;7 " sheetId="6" r:id="rId6"/>
    <sheet name="Sinh viên điểm&gt;=7 " sheetId="7" r:id="rId7"/>
  </sheets>
  <definedNames>
    <definedName name="_xlnm._FilterDatabase" localSheetId="6" hidden="1">'Sinh viên điểm&gt;=7 '!$A$1:$K$15</definedName>
    <definedName name="_xlnm._FilterDatabase" localSheetId="0" hidden="1">'Tổng hợp điểm'!$A$6:$K$20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5" l="1"/>
  <c r="J8" i="1"/>
  <c r="J7" i="1"/>
  <c r="I7" i="1"/>
  <c r="F24" i="5"/>
  <c r="C20" i="1"/>
  <c r="H15" i="7"/>
  <c r="G15" i="7"/>
  <c r="F15" i="7"/>
  <c r="E15" i="7"/>
  <c r="D15" i="7"/>
  <c r="C15" i="7"/>
  <c r="H14" i="7"/>
  <c r="I14" i="7" s="1"/>
  <c r="G14" i="7"/>
  <c r="J14" i="7" s="1"/>
  <c r="K14" i="7" s="1"/>
  <c r="F14" i="7"/>
  <c r="E14" i="7"/>
  <c r="D14" i="7"/>
  <c r="C14" i="7"/>
  <c r="H13" i="7"/>
  <c r="G13" i="7"/>
  <c r="F13" i="7"/>
  <c r="E13" i="7"/>
  <c r="D13" i="7"/>
  <c r="C13" i="7"/>
  <c r="H12" i="7"/>
  <c r="I12" i="7" s="1"/>
  <c r="G12" i="7"/>
  <c r="J12" i="7" s="1"/>
  <c r="K12" i="7" s="1"/>
  <c r="F12" i="7"/>
  <c r="E12" i="7"/>
  <c r="D12" i="7"/>
  <c r="C12" i="7"/>
  <c r="H11" i="7"/>
  <c r="G11" i="7"/>
  <c r="F11" i="7"/>
  <c r="E11" i="7"/>
  <c r="D11" i="7"/>
  <c r="C11" i="7"/>
  <c r="H10" i="7"/>
  <c r="G10" i="7"/>
  <c r="F10" i="7"/>
  <c r="E10" i="7"/>
  <c r="D10" i="7"/>
  <c r="C10" i="7"/>
  <c r="H9" i="7"/>
  <c r="G9" i="7"/>
  <c r="J9" i="7" s="1"/>
  <c r="K9" i="7" s="1"/>
  <c r="F9" i="7"/>
  <c r="E9" i="7"/>
  <c r="D9" i="7"/>
  <c r="C9" i="7"/>
  <c r="H8" i="7"/>
  <c r="G8" i="7"/>
  <c r="F8" i="7"/>
  <c r="E8" i="7"/>
  <c r="D8" i="7"/>
  <c r="C8" i="7"/>
  <c r="H7" i="7"/>
  <c r="G7" i="7"/>
  <c r="F7" i="7"/>
  <c r="E7" i="7"/>
  <c r="D7" i="7"/>
  <c r="C7" i="7"/>
  <c r="H6" i="7"/>
  <c r="G6" i="7"/>
  <c r="F6" i="7"/>
  <c r="E6" i="7"/>
  <c r="D6" i="7"/>
  <c r="C6" i="7"/>
  <c r="H5" i="7"/>
  <c r="G5" i="7"/>
  <c r="F5" i="7"/>
  <c r="E5" i="7"/>
  <c r="D5" i="7"/>
  <c r="C5" i="7"/>
  <c r="H4" i="7"/>
  <c r="I4" i="7" s="1"/>
  <c r="G4" i="7"/>
  <c r="F4" i="7"/>
  <c r="E4" i="7"/>
  <c r="D4" i="7"/>
  <c r="C4" i="7"/>
  <c r="H3" i="7"/>
  <c r="G3" i="7"/>
  <c r="F3" i="7"/>
  <c r="E3" i="7"/>
  <c r="D3" i="7"/>
  <c r="C3" i="7"/>
  <c r="H2" i="7"/>
  <c r="I2" i="7" s="1"/>
  <c r="G2" i="7"/>
  <c r="F2" i="7"/>
  <c r="E2" i="7"/>
  <c r="D2" i="7"/>
  <c r="C2" i="7"/>
  <c r="D7" i="1"/>
  <c r="E8" i="1"/>
  <c r="H8" i="1"/>
  <c r="H9" i="1"/>
  <c r="H10" i="1"/>
  <c r="H11" i="1"/>
  <c r="H12" i="1"/>
  <c r="H13" i="1"/>
  <c r="H14" i="1"/>
  <c r="H15" i="1"/>
  <c r="H16" i="1"/>
  <c r="H17" i="1"/>
  <c r="I17" i="1" s="1"/>
  <c r="H18" i="1"/>
  <c r="H19" i="1"/>
  <c r="I19" i="1" s="1"/>
  <c r="H20" i="1"/>
  <c r="H7" i="1"/>
  <c r="G8" i="1"/>
  <c r="G9" i="1"/>
  <c r="G10" i="1"/>
  <c r="G11" i="1"/>
  <c r="G12" i="1"/>
  <c r="G13" i="1"/>
  <c r="G14" i="1"/>
  <c r="J14" i="1" s="1"/>
  <c r="K14" i="1" s="1"/>
  <c r="G15" i="1"/>
  <c r="G16" i="1"/>
  <c r="G17" i="1"/>
  <c r="J17" i="1" s="1"/>
  <c r="K17" i="1" s="1"/>
  <c r="G18" i="1"/>
  <c r="G19" i="1"/>
  <c r="J19" i="1" s="1"/>
  <c r="K19" i="1" s="1"/>
  <c r="G20" i="1"/>
  <c r="G7" i="1"/>
  <c r="F9" i="1"/>
  <c r="F8" i="1"/>
  <c r="F10" i="1"/>
  <c r="F11" i="1"/>
  <c r="F12" i="1"/>
  <c r="F13" i="1"/>
  <c r="F14" i="1"/>
  <c r="F15" i="1"/>
  <c r="F16" i="1"/>
  <c r="F17" i="1"/>
  <c r="F18" i="1"/>
  <c r="F19" i="1"/>
  <c r="F20" i="1"/>
  <c r="E9" i="1"/>
  <c r="E10" i="1"/>
  <c r="E11" i="1"/>
  <c r="E12" i="1"/>
  <c r="E13" i="1"/>
  <c r="E14" i="1"/>
  <c r="E15" i="1"/>
  <c r="E16" i="1"/>
  <c r="E17" i="1"/>
  <c r="E18" i="1"/>
  <c r="E19" i="1"/>
  <c r="E20" i="1"/>
  <c r="F7" i="1"/>
  <c r="E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C8" i="1"/>
  <c r="C7" i="1"/>
  <c r="C10" i="1"/>
  <c r="C9" i="1"/>
  <c r="C11" i="1"/>
  <c r="C12" i="1"/>
  <c r="C13" i="1"/>
  <c r="C14" i="1"/>
  <c r="C15" i="1"/>
  <c r="C16" i="1"/>
  <c r="C17" i="1"/>
  <c r="C18" i="1"/>
  <c r="C19" i="1"/>
  <c r="I15" i="7" l="1"/>
  <c r="J15" i="7" s="1"/>
  <c r="K15" i="7" s="1"/>
  <c r="I13" i="7"/>
  <c r="J13" i="7" s="1"/>
  <c r="K13" i="7" s="1"/>
  <c r="I11" i="7"/>
  <c r="J11" i="7" s="1"/>
  <c r="K11" i="7" s="1"/>
  <c r="I10" i="7"/>
  <c r="J10" i="7" s="1"/>
  <c r="K10" i="7" s="1"/>
  <c r="I9" i="7"/>
  <c r="I8" i="7"/>
  <c r="J8" i="7" s="1"/>
  <c r="K8" i="7" s="1"/>
  <c r="I7" i="7"/>
  <c r="J7" i="7" s="1"/>
  <c r="K7" i="7" s="1"/>
  <c r="I6" i="7"/>
  <c r="J6" i="7" s="1"/>
  <c r="K6" i="7" s="1"/>
  <c r="I5" i="7"/>
  <c r="J5" i="7" s="1"/>
  <c r="K5" i="7" s="1"/>
  <c r="J4" i="7"/>
  <c r="K4" i="7" s="1"/>
  <c r="I3" i="7"/>
  <c r="J3" i="7" s="1"/>
  <c r="K3" i="7" s="1"/>
  <c r="J2" i="7"/>
  <c r="K2" i="7" s="1"/>
  <c r="I8" i="1"/>
  <c r="K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4" i="1"/>
  <c r="I15" i="1"/>
  <c r="J15" i="1" s="1"/>
  <c r="K15" i="1" s="1"/>
  <c r="I16" i="1"/>
  <c r="J16" i="1" s="1"/>
  <c r="K16" i="1" s="1"/>
  <c r="I18" i="1"/>
  <c r="J18" i="1" s="1"/>
  <c r="K18" i="1" s="1"/>
  <c r="I20" i="1"/>
  <c r="J20" i="1" s="1"/>
  <c r="K20" i="1" s="1"/>
  <c r="K7" i="1"/>
  <c r="F21" i="5" s="1"/>
  <c r="A2" i="6" l="1" a="1"/>
  <c r="A2" i="6" s="1"/>
  <c r="F14" i="5"/>
  <c r="F15" i="5"/>
  <c r="F16" i="5"/>
  <c r="F17" i="5"/>
  <c r="F18" i="5"/>
  <c r="F19" i="5"/>
  <c r="F2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<sst xmlns="http://schemas.openxmlformats.org/spreadsheetml/2006/main" count="234" uniqueCount="88">
  <si>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</si>
  <si>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</si>
  <si>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</si>
  <si>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</si>
  <si>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</si>
  <si>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</si>
  <si>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</si>
  <si>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8</t>
  </si>
  <si>
    <t>Nam hoc</t>
  </si>
  <si>
    <t>2020-2021</t>
  </si>
  <si>
    <t>Hoc ky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</si>
  <si>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</si>
  <si>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</si>
  <si>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</si>
  <si>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</si>
  <si>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</si>
  <si>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</si>
  <si>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</si>
  <si>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 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</si>
  <si>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</si>
  <si>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</si>
  <si>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</si>
  <si>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</si>
  <si>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</si>
  <si>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</si>
  <si>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</si>
  <si>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</si>
  <si>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</si>
  <si>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</si>
  <si>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</si>
  <si>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</si>
  <si>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</si>
  <si>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</si>
  <si>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</si>
  <si>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</si>
  <si>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</si>
  <si>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</si>
  <si>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Họ và tên</t>
  </si>
  <si>
    <t>B1505719</t>
  </si>
  <si>
    <t>Nguyễn Văn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</si>
  <si>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</si>
  <si>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</si>
  <si>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</si>
  <si>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</si>
  <si>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</si>
  <si>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</si>
  <si>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</si>
  <si>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</si>
  <si>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</si>
  <si>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</si>
  <si>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</si>
  <si>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</si>
  <si>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</si>
  <si>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</si>
  <si>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</si>
  <si>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</si>
  <si>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</si>
  <si>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</si>
  <si>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</si>
  <si>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</si>
  <si>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</si>
  <si>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</si>
  <si>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</si>
  <si>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</si>
  <si>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</si>
  <si>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</si>
  <si>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Điểm bài tập lớn</t>
  </si>
  <si>
    <t>Điểm BL lớn</t>
  </si>
  <si>
    <t>Điểm lý thuyết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</si>
  <si>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</si>
  <si>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</si>
  <si>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</si>
  <si>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</si>
  <si>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</si>
  <si>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</si>
  <si>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</si>
  <si>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</si>
  <si>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</si>
  <si>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</si>
  <si>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</si>
  <si>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</si>
  <si>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</si>
  <si>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Danh sách Sinh viên</t>
  </si>
  <si>
    <t>Bảng thống kê theo điểm chữ</t>
  </si>
  <si>
    <t>Số lượng sinh viên</t>
  </si>
  <si>
    <t>Bảng thống kê SV</t>
  </si>
  <si>
    <t>Số sinh viên điểm BT lớn = 0 hoặc điểm LT = -3</t>
  </si>
  <si>
    <t>Số SV nghỉ TH &gt;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</si>
</sst>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theme="3"/>
      <name val="Times New Roman"/>
      <family val="1"/>
    </font>
    <font>
      <sz val="13"/>
      <color theme="1"/>
      <name val="Cambria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3C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4" fillId="0" borderId="0" xfId="0" applyFont="1"/>
    <xf numFmtId="0" fontId="1" fillId="0" borderId="2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3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vi-VN"/>
              <a:t>Thống kê số lượng sinh viên theo điểm chữ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36-41B8-889B-2A571FF2E0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36-41B8-889B-2A571FF2E0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36-41B8-889B-2A571FF2E0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36-41B8-889B-2A571FF2E0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36-41B8-889B-2A571FF2E0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36-41B8-889B-2A571FF2E0E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A36-41B8-889B-2A571FF2E0E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A36-41B8-889B-2A571FF2E0EA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7-40A6-ABC6-33B8354A2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579120</xdr:colOff>
      <xdr:row>10</xdr:row>
      <xdr:rowOff>192404</xdr:rowOff>
    </xdr:from>
    <xdr:to>
      <xdr:col>14</xdr:col>
      <xdr:colOff>225566</xdr:colOff>
      <xdr:row>26</xdr:row>
      <xdr:rowOff>152400</xdr:rowOff>
    </xdr:to>
    <xdr:graphicFrame macro="">
      <xdr:nvGraphicFramePr>
        <xdr:cNvPr id="4" name="Biểu đồ 3">
          <a:extLst>
            <a:ext uri="{FF2B5EF4-FFF2-40B4-BE49-F238E27FC236}">
              <a16:creationId xmlns:a16="http://schemas.microsoft.com/office/drawing/2014/main" id="{036EED8E-292B-BFEF-0C07-7354F8FA6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pane xSplit="3" ySplit="6" topLeftCell="D7" activePane="bottomRight" state="frozen"/>
      <selection pane="topRight"/>
      <selection pane="bottomLeft"/>
      <selection pane="bottomRight" activeCell="J8" sqref="J8:J11"/>
    </sheetView>
  </sheetViews>
  <sheetFormatPr defaultColWidth="8.88671875" defaultRowHeight="17.25" customHeight="1" x14ac:dyDescent="0.3"/>
  <cols>
    <col min="1" max="1" width="7" style="4" customWidth="1"/>
    <col min="2" max="2" width="14.88671875" style="1" customWidth="1"/>
    <col min="3" max="3" width="22.44140625" style="1" customWidth="1"/>
    <col min="4" max="8" width="8.88671875" style="1"/>
    <col min="9" max="9" width="10.44140625" style="1" customWidth="1"/>
    <col min="10" max="11" width="8.88671875" style="1"/>
    <col min="12" max="12" width="14.88671875" style="1" customWidth="1"/>
    <col min="13" max="16384" width="8.88671875" style="1"/>
  </cols>
  <sheetData>
    <row r="1" spans="1:11" ht="17.25" customHeight="1" x14ac:dyDescent="0.3">
      <c r="A1" s="3"/>
      <c r="B1" s="24" t="s">
        <v>0</v>
      </c>
      <c r="C1" s="24"/>
      <c r="D1" s="24"/>
      <c r="E1" s="24"/>
      <c r="F1" s="24"/>
      <c r="G1" s="24"/>
      <c r="H1" s="24"/>
      <c r="I1" s="2"/>
      <c r="J1" s="2"/>
      <c r="K1" s="2"/>
    </row>
    <row r="2" spans="1:11" ht="17.25" customHeight="1" x14ac:dyDescent="0.3">
      <c r="A2" s="3"/>
      <c r="B2" s="2" t="s">
        <v>1</v>
      </c>
      <c r="C2" s="5">
        <v>1043</v>
      </c>
      <c r="D2" s="25" t="s">
        <v>2</v>
      </c>
      <c r="E2" s="27"/>
      <c r="F2" s="22" t="s">
        <v>3</v>
      </c>
      <c r="G2" s="26"/>
      <c r="H2" s="26"/>
      <c r="I2" s="27"/>
      <c r="J2" s="2"/>
      <c r="K2" s="2"/>
    </row>
    <row r="3" spans="1:11" ht="17.25" customHeight="1" x14ac:dyDescent="0.3">
      <c r="A3" s="3"/>
      <c r="B3" s="2" t="s">
        <v>4</v>
      </c>
      <c r="C3" s="5" t="s">
        <v>5</v>
      </c>
      <c r="D3" s="25" t="s">
        <v>6</v>
      </c>
      <c r="E3" s="27"/>
      <c r="F3" s="25" t="s">
        <v>7</v>
      </c>
      <c r="G3" s="26"/>
      <c r="H3" s="27"/>
      <c r="I3" s="2"/>
      <c r="J3" s="2"/>
      <c r="K3" s="2"/>
    </row>
    <row r="4" spans="1:11" ht="17.25" customHeight="1" x14ac:dyDescent="0.3">
      <c r="A4" s="3"/>
      <c r="B4" s="2" t="s">
        <v>8</v>
      </c>
      <c r="C4" s="5" t="s">
        <v>9</v>
      </c>
      <c r="D4" s="25" t="s">
        <v>10</v>
      </c>
      <c r="E4" s="27"/>
      <c r="F4" s="25">
        <v>1</v>
      </c>
      <c r="G4" s="26"/>
      <c r="H4" s="27"/>
      <c r="I4" s="2"/>
      <c r="J4" s="2"/>
      <c r="K4" s="2"/>
    </row>
    <row r="5" spans="1:11" ht="17.25" customHeight="1" x14ac:dyDescent="0.3">
      <c r="A5" s="6"/>
      <c r="B5" s="7"/>
      <c r="C5" s="8"/>
      <c r="D5" s="7"/>
      <c r="E5" s="7"/>
      <c r="F5" s="7"/>
      <c r="G5" s="7"/>
      <c r="H5" s="7"/>
      <c r="I5" s="7"/>
      <c r="J5" s="7"/>
      <c r="K5" s="7"/>
    </row>
    <row r="6" spans="1:11" s="12" customFormat="1" ht="92.25" customHeight="1" x14ac:dyDescent="0.3">
      <c r="A6" s="11" t="s">
        <v>11</v>
      </c>
      <c r="B6" s="11" t="s">
        <v>12</v>
      </c>
      <c r="C6" s="11" t="s">
        <v>13</v>
      </c>
      <c r="D6" s="11" t="s">
        <v>14</v>
      </c>
      <c r="E6" s="11" t="s">
        <v>15</v>
      </c>
      <c r="F6" s="11" t="s">
        <v>16</v>
      </c>
      <c r="G6" s="11" t="s">
        <v>17</v>
      </c>
      <c r="H6" s="11" t="s">
        <v>18</v>
      </c>
      <c r="I6" s="11" t="s">
        <v>19</v>
      </c>
      <c r="J6" s="11" t="s">
        <v>20</v>
      </c>
      <c r="K6" s="11" t="s">
        <v>21</v>
      </c>
    </row>
    <row r="7" spans="1:11" ht="17.25" customHeight="1" x14ac:dyDescent="0.3">
      <c r="A7" s="9">
        <v>1</v>
      </c>
      <c r="B7" s="10" t="s">
        <v>22</v>
      </c>
      <c r="C7" s="10" t="str">
        <f>VLOOKUP(RIGHT(B7,8),'Các bảng tham chiếu &amp; Thống kê'!$B$14:$D$27,2,0)</f>
        <v>Nguyễn Văn Hiếu</v>
      </c>
      <c r="D7" s="9">
        <f>VLOOKUP(RIGHT($B7,8),'Điểm thực hành các buổi'!$B$3:$F$16,3,0)</f>
        <v>0.45</v>
      </c>
      <c r="E7" s="9">
        <f>VLOOKUP(RIGHT($B7,8),'Điểm thực hành các buổi'!$B$3:$F$16,4,0)</f>
        <v>0.25</v>
      </c>
      <c r="F7" s="9">
        <f>VLOOKUP(RIGHT($B7,8),'Điểm thực hành các buổi'!$B$3:$F$16,5,0)</f>
        <v>0.3</v>
      </c>
      <c r="G7" s="9">
        <f>VLOOKUP(RIGHT($B7,8),'Điểm bài tập lớn'!$B$3:$D$16,3,0)</f>
        <v>0.5</v>
      </c>
      <c r="H7" s="19">
        <f>VLOOKUP(RIGHT($B7,8),'Điểm lý thuyết'!$B$3:$D$16,3,0)</f>
        <v>4.2</v>
      </c>
      <c r="I7" s="9">
        <f>ROUND(IF(H7=-3,0,D7+E7+F7+G7+0.6*H7),1)</f>
        <v>4</v>
      </c>
      <c r="J7" s="20">
        <f>ROUND(IF(OR(G7=0,VALUE(LEFT(B7,1))&gt;2),0,I7+VLOOKUP(VALUE(LEFT(B7,1)),'Các bảng tham chiếu &amp; Thống kê'!$E$3:$F$5,2,FALSE)),1)</f>
        <v>5</v>
      </c>
      <c r="K7" s="20" t="str">
        <f>VLOOKUP(J7,'Các bảng tham chiếu &amp; Thống kê'!$A$3:$B$10,2,TRUE)</f>
        <v>D+</v>
      </c>
    </row>
    <row r="8" spans="1:11" ht="17.25" customHeight="1" x14ac:dyDescent="0.3">
      <c r="A8" s="3">
        <v>2</v>
      </c>
      <c r="B8" s="2" t="s">
        <v>23</v>
      </c>
      <c r="C8" s="10" t="str">
        <f>VLOOKUP(RIGHT(B8,8),'Các bảng tham chiếu &amp; Thống kê'!$B$14:$D$27,2,0)</f>
        <v>Lý Minh Trí</v>
      </c>
      <c r="D8" s="9">
        <f>VLOOKUP(RIGHT(B8,8),'Điểm thực hành các buổi'!$B$3:$F$16,3,0)</f>
        <v>0.5</v>
      </c>
      <c r="E8" s="9">
        <f>VLOOKUP(RIGHT($B8,8),'Điểm thực hành các buổi'!$B$3:$F$16,4,0)</f>
        <v>0.35</v>
      </c>
      <c r="F8" s="9">
        <f>VLOOKUP(RIGHT($B8,8),'Điểm thực hành các buổi'!$B$3:$F$16,5,0)</f>
        <v>0.4</v>
      </c>
      <c r="G8" s="9">
        <f>VLOOKUP(RIGHT($B8,8),'Điểm bài tập lớn'!$B$3:$D$16,3,0)</f>
        <v>1</v>
      </c>
      <c r="H8" s="19">
        <f>VLOOKUP(RIGHT($B8,8),'Điểm lý thuyết'!$B$3:$D$16,3,0)</f>
        <v>5.8</v>
      </c>
      <c r="I8" s="9">
        <f t="shared" ref="I8:I20" si="0">ROUND(IF(H8=-3,0,D8+E8+F8+G8+0.6*H8),1)</f>
        <v>5.7</v>
      </c>
      <c r="J8" s="20">
        <f>ROUND(IF(OR(G8=0,VALUE(LEFT(B8,1))&gt;2),0,I8+VLOOKUP(VALUE(LEFT(B8,1)),'Các bảng tham chiếu &amp; Thống kê'!$E$3:$F$5,2,FALSE)),1)</f>
        <v>6.2</v>
      </c>
      <c r="K8" s="20" t="str">
        <f>VLOOKUP(J8,'Các bảng tham chiếu &amp; Thống kê'!$A$3:$B$10,2,TRUE)</f>
        <v>C</v>
      </c>
    </row>
    <row r="9" spans="1:11" ht="17.25" customHeight="1" x14ac:dyDescent="0.3">
      <c r="A9" s="3">
        <v>3</v>
      </c>
      <c r="B9" s="2" t="s">
        <v>24</v>
      </c>
      <c r="C9" s="10" t="str">
        <f>VLOOKUP(RIGHT(B9,8),'Các bảng tham chiếu &amp; Thống kê'!$B$14:$D$27,2,0)</f>
        <v>Nguyễn Kiều Mi</v>
      </c>
      <c r="D9" s="9">
        <f>VLOOKUP(RIGHT(B9,8),'Điểm thực hành các buổi'!$B$3:$F$16,3,0)</f>
        <v>0.25</v>
      </c>
      <c r="E9" s="9">
        <f>VLOOKUP(RIGHT($B9,8),'Điểm thực hành các buổi'!$B$3:$F$16,4,0)</f>
        <v>0.25</v>
      </c>
      <c r="F9" s="9">
        <f>VLOOKUP(RIGHT($B9,8),'Điểm thực hành các buổi'!$B$3:$F$16,5,0)</f>
        <v>0.3</v>
      </c>
      <c r="G9" s="9">
        <f>VLOOKUP(RIGHT($B9,8),'Điểm bài tập lớn'!$B$3:$D$16,3,0)</f>
        <v>0.5</v>
      </c>
      <c r="H9" s="19">
        <f>VLOOKUP(RIGHT($B9,8),'Điểm lý thuyết'!$B$3:$D$16,3,0)</f>
        <v>5.8</v>
      </c>
      <c r="I9" s="9">
        <f t="shared" si="0"/>
        <v>4.8</v>
      </c>
      <c r="J9" s="20">
        <f>ROUND(IF(OR(G9=0,VALUE(LEFT(B9,1))&gt;2),0,I9+VLOOKUP(VALUE(LEFT(B9,1)),'Các bảng tham chiếu &amp; Thống kê'!$E$3:$F$5,2,FALSE)),1)</f>
        <v>5.8</v>
      </c>
      <c r="K9" s="20" t="str">
        <f>VLOOKUP(J9,'Các bảng tham chiếu &amp; Thống kê'!$A$3:$B$10,2,TRUE)</f>
        <v>C</v>
      </c>
    </row>
    <row r="10" spans="1:11" ht="17.25" customHeight="1" x14ac:dyDescent="0.3">
      <c r="A10" s="3">
        <v>4</v>
      </c>
      <c r="B10" s="2" t="s">
        <v>25</v>
      </c>
      <c r="C10" s="10" t="str">
        <f>VLOOKUP(RIGHT(B10,8),'Các bảng tham chiếu &amp; Thống kê'!$B$14:$D$27,2,0)</f>
        <v>Đặng Duy Linh</v>
      </c>
      <c r="D10" s="9">
        <f>VLOOKUP(RIGHT(B10,8),'Điểm thực hành các buổi'!$B$3:$F$16,3,0)</f>
        <v>0.4</v>
      </c>
      <c r="E10" s="9">
        <f>VLOOKUP(RIGHT($B10,8),'Điểm thực hành các buổi'!$B$3:$F$16,4,0)</f>
        <v>0.25</v>
      </c>
      <c r="F10" s="9">
        <f>VLOOKUP(RIGHT($B10,8),'Điểm thực hành các buổi'!$B$3:$F$16,5,0)</f>
        <v>0.35</v>
      </c>
      <c r="G10" s="9">
        <f>VLOOKUP(RIGHT($B10,8),'Điểm bài tập lớn'!$B$3:$D$16,3,0)</f>
        <v>1</v>
      </c>
      <c r="H10" s="19">
        <f>VLOOKUP(RIGHT($B10,8),'Điểm lý thuyết'!$B$3:$D$16,3,0)</f>
        <v>4.5</v>
      </c>
      <c r="I10" s="9">
        <f t="shared" si="0"/>
        <v>4.7</v>
      </c>
      <c r="J10" s="20">
        <f>ROUND(IF(OR(G10=0,VALUE(LEFT(B10,1))&gt;2),0,I10+VLOOKUP(VALUE(LEFT(B10,1)),'Các bảng tham chiếu &amp; Thống kê'!$E$3:$F$5,2,FALSE)),1)</f>
        <v>5.7</v>
      </c>
      <c r="K10" s="20" t="str">
        <f>VLOOKUP(J10,'Các bảng tham chiếu &amp; Thống kê'!$A$3:$B$10,2,TRUE)</f>
        <v>C</v>
      </c>
    </row>
    <row r="11" spans="1:11" ht="17.25" customHeight="1" x14ac:dyDescent="0.3">
      <c r="A11" s="3">
        <v>5</v>
      </c>
      <c r="B11" s="2" t="s">
        <v>26</v>
      </c>
      <c r="C11" s="10" t="str">
        <f>VLOOKUP(RIGHT(B11,8),'Các bảng tham chiếu &amp; Thống kê'!$B$14:$D$27,2,0)</f>
        <v>Lê Thị Trúc Linh</v>
      </c>
      <c r="D11" s="9">
        <f>VLOOKUP(RIGHT(B11,8),'Điểm thực hành các buổi'!$B$3:$F$16,3,0)</f>
        <v>0.45</v>
      </c>
      <c r="E11" s="9">
        <f>VLOOKUP(RIGHT($B11,8),'Điểm thực hành các buổi'!$B$3:$F$16,4,0)</f>
        <v>0.4</v>
      </c>
      <c r="F11" s="9">
        <f>VLOOKUP(RIGHT($B11,8),'Điểm thực hành các buổi'!$B$3:$F$16,5,0)</f>
        <v>0.35</v>
      </c>
      <c r="G11" s="9">
        <f>VLOOKUP(RIGHT($B11,8),'Điểm bài tập lớn'!$B$3:$D$16,3,0)</f>
        <v>0.75</v>
      </c>
      <c r="H11" s="19">
        <f>VLOOKUP(RIGHT($B11,8),'Điểm lý thuyết'!$B$3:$D$16,3,0)</f>
        <v>5.5</v>
      </c>
      <c r="I11" s="9">
        <f t="shared" si="0"/>
        <v>5.3</v>
      </c>
      <c r="J11" s="20">
        <f>ROUND(IF(OR(G11=0,VALUE(LEFT(B11,1))&gt;2),0,I11+VLOOKUP(VALUE(LEFT(B11,1)),'Các bảng tham chiếu &amp; Thống kê'!$E$3:$F$5,2,FALSE)),1)</f>
        <v>5.6</v>
      </c>
      <c r="K11" s="20" t="str">
        <f>VLOOKUP(J11,'Các bảng tham chiếu &amp; Thống kê'!$A$3:$B$10,2,TRUE)</f>
        <v>C</v>
      </c>
    </row>
    <row r="12" spans="1:11" ht="17.25" customHeight="1" x14ac:dyDescent="0.3">
      <c r="A12" s="3">
        <v>6</v>
      </c>
      <c r="B12" s="2" t="s">
        <v>27</v>
      </c>
      <c r="C12" s="10" t="str">
        <f>VLOOKUP(RIGHT(B12,8),'Các bảng tham chiếu &amp; Thống kê'!$B$14:$D$27,2,0)</f>
        <v>Phạm Thị Huỳnh</v>
      </c>
      <c r="D12" s="9">
        <f>VLOOKUP(RIGHT(B12,8),'Điểm thực hành các buổi'!$B$3:$F$16,3,0)</f>
        <v>0.4</v>
      </c>
      <c r="E12" s="9">
        <f>VLOOKUP(RIGHT($B12,8),'Điểm thực hành các buổi'!$B$3:$F$16,4,0)</f>
        <v>0.45</v>
      </c>
      <c r="F12" s="9">
        <f>VLOOKUP(RIGHT($B12,8),'Điểm thực hành các buổi'!$B$3:$F$16,5,0)</f>
        <v>0.5</v>
      </c>
      <c r="G12" s="9">
        <f>VLOOKUP(RIGHT($B12,8),'Điểm bài tập lớn'!$B$3:$D$16,3,0)</f>
        <v>1.2</v>
      </c>
      <c r="H12" s="19">
        <f>VLOOKUP(RIGHT($B12,8),'Điểm lý thuyết'!$B$3:$D$16,3,0)</f>
        <v>7.5</v>
      </c>
      <c r="I12" s="9">
        <f t="shared" si="0"/>
        <v>7.1</v>
      </c>
      <c r="J12" s="20">
        <f>ROUND(IF(OR(G12=0,VALUE(LEFT(B12,1))&gt;2),0,I12+VLOOKUP(VALUE(LEFT(B12,1)),'Các bảng tham chiếu &amp; Thống kê'!$E$3:$F$5,2,FALSE)),1)</f>
        <v>8.1</v>
      </c>
      <c r="K12" s="20" t="str">
        <f>VLOOKUP(J12,'Các bảng tham chiếu &amp; Thống kê'!$A$3:$B$10,2,TRUE)</f>
        <v>B+</v>
      </c>
    </row>
    <row r="13" spans="1:11" ht="17.25" customHeight="1" x14ac:dyDescent="0.3">
      <c r="A13" s="3">
        <v>7</v>
      </c>
      <c r="B13" s="2" t="s">
        <v>28</v>
      </c>
      <c r="C13" s="10" t="str">
        <f>VLOOKUP(RIGHT(B13,8),'Các bảng tham chiếu &amp; Thống kê'!$B$14:$D$27,2,0)</f>
        <v>Lê Minh Thông</v>
      </c>
      <c r="D13" s="9">
        <f>VLOOKUP(RIGHT(B13,8),'Điểm thực hành các buổi'!$B$3:$F$16,3,0)</f>
        <v>0.4</v>
      </c>
      <c r="E13" s="9">
        <f>VLOOKUP(RIGHT($B13,8),'Điểm thực hành các buổi'!$B$3:$F$16,4,0)</f>
        <v>0.4</v>
      </c>
      <c r="F13" s="9">
        <f>VLOOKUP(RIGHT($B13,8),'Điểm thực hành các buổi'!$B$3:$F$16,5,0)</f>
        <v>0.4</v>
      </c>
      <c r="G13" s="9">
        <f>VLOOKUP(RIGHT($B13,8),'Điểm bài tập lớn'!$B$3:$D$16,3,0)</f>
        <v>1</v>
      </c>
      <c r="H13" s="19">
        <f>VLOOKUP(RIGHT($B13,8),'Điểm lý thuyết'!$B$3:$D$16,3,0)</f>
        <v>5.3</v>
      </c>
      <c r="I13" s="9">
        <f t="shared" si="0"/>
        <v>5.4</v>
      </c>
      <c r="J13" s="20">
        <f>ROUND(IF(OR(G13=0,VALUE(LEFT(B13,1))&gt;2),0,I13+VLOOKUP(VALUE(LEFT(B13,1)),'Các bảng tham chiếu &amp; Thống kê'!$E$3:$F$5,2,FALSE)),1)</f>
        <v>6.4</v>
      </c>
      <c r="K13" s="20" t="str">
        <f>VLOOKUP(J13,'Các bảng tham chiếu &amp; Thống kê'!$A$3:$B$10,2,TRUE)</f>
        <v>C</v>
      </c>
    </row>
    <row r="14" spans="1:11" ht="17.25" customHeight="1" x14ac:dyDescent="0.3">
      <c r="A14" s="3">
        <v>8</v>
      </c>
      <c r="B14" s="2" t="s">
        <v>29</v>
      </c>
      <c r="C14" s="10" t="str">
        <f>VLOOKUP(RIGHT(B14,8),'Các bảng tham chiếu &amp; Thống kê'!$B$14:$D$27,2,0)</f>
        <v>Huỳnh Thị Diễm</v>
      </c>
      <c r="D14" s="9">
        <f>VLOOKUP(RIGHT(B14,8),'Điểm thực hành các buổi'!$B$3:$F$16,3,0)</f>
        <v>0.45</v>
      </c>
      <c r="E14" s="9">
        <f>VLOOKUP(RIGHT($B14,8),'Điểm thực hành các buổi'!$B$3:$F$16,4,0)</f>
        <v>0.4</v>
      </c>
      <c r="F14" s="9">
        <f>VLOOKUP(RIGHT($B14,8),'Điểm thực hành các buổi'!$B$3:$F$16,5,0)</f>
        <v>0.4</v>
      </c>
      <c r="G14" s="9">
        <f>VLOOKUP(RIGHT($B14,8),'Điểm bài tập lớn'!$B$3:$D$16,3,0)</f>
        <v>0</v>
      </c>
      <c r="H14" s="19">
        <f>VLOOKUP(RIGHT($B14,8),'Điểm lý thuyết'!$B$3:$D$16,3,0)</f>
        <v>6.8</v>
      </c>
      <c r="I14" s="9">
        <f t="shared" si="0"/>
        <v>5.3</v>
      </c>
      <c r="J14" s="20">
        <f>ROUND(IF(OR(G14=0,VALUE(LEFT(B14,1))&gt;2),0,I14+VLOOKUP(VALUE(LEFT(B14,1)),'Các bảng tham chiếu &amp; Thống kê'!$E$3:$F$5,2,FALSE)),1)</f>
        <v>0</v>
      </c>
      <c r="K14" s="20" t="str">
        <f>VLOOKUP(J14,'Các bảng tham chiếu &amp; Thống kê'!$A$3:$B$10,2,TRUE)</f>
        <v>F</v>
      </c>
    </row>
    <row r="15" spans="1:11" ht="17.25" customHeight="1" x14ac:dyDescent="0.3">
      <c r="A15" s="3">
        <v>9</v>
      </c>
      <c r="B15" s="2" t="s">
        <v>30</v>
      </c>
      <c r="C15" s="10" t="str">
        <f>VLOOKUP(RIGHT(B15,8),'Các bảng tham chiếu &amp; Thống kê'!$B$14:$D$27,2,0)</f>
        <v>Trần Thanh Nguyên</v>
      </c>
      <c r="D15" s="9">
        <f>VLOOKUP(RIGHT(B15,8),'Điểm thực hành các buổi'!$B$3:$F$16,3,0)</f>
        <v>0.45</v>
      </c>
      <c r="E15" s="9">
        <f>VLOOKUP(RIGHT($B15,8),'Điểm thực hành các buổi'!$B$3:$F$16,4,0)</f>
        <v>0.4</v>
      </c>
      <c r="F15" s="9">
        <f>VLOOKUP(RIGHT($B15,8),'Điểm thực hành các buổi'!$B$3:$F$16,5,0)</f>
        <v>0.4</v>
      </c>
      <c r="G15" s="9">
        <f>VLOOKUP(RIGHT($B15,8),'Điểm bài tập lớn'!$B$3:$D$16,3,0)</f>
        <v>0.75</v>
      </c>
      <c r="H15" s="19">
        <f>VLOOKUP(RIGHT($B15,8),'Điểm lý thuyết'!$B$3:$D$16,3,0)</f>
        <v>6.3</v>
      </c>
      <c r="I15" s="9">
        <f t="shared" si="0"/>
        <v>5.8</v>
      </c>
      <c r="J15" s="20">
        <f>ROUND(IF(OR(G15=0,VALUE(LEFT(B15,1))&gt;2),0,I15+VLOOKUP(VALUE(LEFT(B15,1)),'Các bảng tham chiếu &amp; Thống kê'!$E$3:$F$5,2,FALSE)),1)</f>
        <v>6.8</v>
      </c>
      <c r="K15" s="20" t="str">
        <f>VLOOKUP(J15,'Các bảng tham chiếu &amp; Thống kê'!$A$3:$B$10,2,TRUE)</f>
        <v>C+</v>
      </c>
    </row>
    <row r="16" spans="1:11" ht="17.25" customHeight="1" x14ac:dyDescent="0.3">
      <c r="A16" s="3">
        <v>10</v>
      </c>
      <c r="B16" s="2" t="s">
        <v>31</v>
      </c>
      <c r="C16" s="10" t="str">
        <f>VLOOKUP(RIGHT(B16,8),'Các bảng tham chiếu &amp; Thống kê'!$B$14:$D$27,2,0)</f>
        <v>Nguyễn Thị Đào</v>
      </c>
      <c r="D16" s="9">
        <f>VLOOKUP(RIGHT(B16,8),'Điểm thực hành các buổi'!$B$3:$F$16,3,0)</f>
        <v>0.3</v>
      </c>
      <c r="E16" s="9">
        <f>VLOOKUP(RIGHT($B16,8),'Điểm thực hành các buổi'!$B$3:$F$16,4,0)</f>
        <v>0.5</v>
      </c>
      <c r="F16" s="9">
        <f>VLOOKUP(RIGHT($B16,8),'Điểm thực hành các buổi'!$B$3:$F$16,5,0)</f>
        <v>0.45</v>
      </c>
      <c r="G16" s="9">
        <f>VLOOKUP(RIGHT($B16,8),'Điểm bài tập lớn'!$B$3:$D$16,3,0)</f>
        <v>0.3</v>
      </c>
      <c r="H16" s="19">
        <f>VLOOKUP(RIGHT($B16,8),'Điểm lý thuyết'!$B$3:$D$16,3,0)</f>
        <v>8.3000000000000007</v>
      </c>
      <c r="I16" s="9">
        <f t="shared" si="0"/>
        <v>6.5</v>
      </c>
      <c r="J16" s="20">
        <f>ROUND(IF(OR(G16=0,VALUE(LEFT(B16,1))&gt;2),0,I16+VLOOKUP(VALUE(LEFT(B16,1)),'Các bảng tham chiếu &amp; Thống kê'!$E$3:$F$5,2,FALSE)),1)</f>
        <v>7</v>
      </c>
      <c r="K16" s="20" t="str">
        <f>VLOOKUP(J16,'Các bảng tham chiếu &amp; Thống kê'!$A$3:$B$10,2,TRUE)</f>
        <v>B</v>
      </c>
    </row>
    <row r="17" spans="1:11" ht="17.25" customHeight="1" x14ac:dyDescent="0.3">
      <c r="A17" s="3">
        <v>11</v>
      </c>
      <c r="B17" s="2" t="s">
        <v>32</v>
      </c>
      <c r="C17" s="10" t="str">
        <f>VLOOKUP(RIGHT(B17,8),'Các bảng tham chiếu &amp; Thống kê'!$B$14:$D$27,2,0)</f>
        <v>Nguyễn Chí Thanh</v>
      </c>
      <c r="D17" s="9">
        <f>VLOOKUP(RIGHT(B17,8),'Điểm thực hành các buổi'!$B$3:$F$16,3,0)</f>
        <v>0.4</v>
      </c>
      <c r="E17" s="9">
        <f>VLOOKUP(RIGHT($B17,8),'Điểm thực hành các buổi'!$B$3:$F$16,4,0)</f>
        <v>0.45</v>
      </c>
      <c r="F17" s="9">
        <f>VLOOKUP(RIGHT($B17,8),'Điểm thực hành các buổi'!$B$3:$F$16,5,0)</f>
        <v>0.4</v>
      </c>
      <c r="G17" s="9">
        <f>VLOOKUP(RIGHT($B17,8),'Điểm bài tập lớn'!$B$3:$D$16,3,0)</f>
        <v>0.3</v>
      </c>
      <c r="H17" s="19">
        <f>VLOOKUP(RIGHT($B17,8),'Điểm lý thuyết'!$B$3:$D$16,3,0)</f>
        <v>-3</v>
      </c>
      <c r="I17" s="9">
        <f t="shared" si="0"/>
        <v>0</v>
      </c>
      <c r="J17" s="20">
        <f>ROUND(IF(OR(G17=0,VALUE(LEFT(B17,1))&gt;2),0,I17+VLOOKUP(VALUE(LEFT(B17,1)),'Các bảng tham chiếu &amp; Thống kê'!$E$3:$F$5,2,FALSE)),1)</f>
        <v>0</v>
      </c>
      <c r="K17" s="20" t="str">
        <f>VLOOKUP(J17,'Các bảng tham chiếu &amp; Thống kê'!$A$3:$B$10,2,TRUE)</f>
        <v>F</v>
      </c>
    </row>
    <row r="18" spans="1:11" ht="17.25" customHeight="1" x14ac:dyDescent="0.3">
      <c r="A18" s="3">
        <v>12</v>
      </c>
      <c r="B18" s="2" t="s">
        <v>33</v>
      </c>
      <c r="C18" s="10" t="str">
        <f>VLOOKUP(RIGHT(B18,8),'Các bảng tham chiếu &amp; Thống kê'!$B$14:$D$27,2,0)</f>
        <v>Nguyễn Hải Anh</v>
      </c>
      <c r="D18" s="9">
        <f>VLOOKUP(RIGHT(B18,8),'Điểm thực hành các buổi'!$B$3:$F$16,3,0)</f>
        <v>0.5</v>
      </c>
      <c r="E18" s="9">
        <f>VLOOKUP(RIGHT($B18,8),'Điểm thực hành các buổi'!$B$3:$F$16,4,0)</f>
        <v>0.5</v>
      </c>
      <c r="F18" s="9">
        <f>VLOOKUP(RIGHT($B18,8),'Điểm thực hành các buổi'!$B$3:$F$16,5,0)</f>
        <v>0.45</v>
      </c>
      <c r="G18" s="9">
        <f>VLOOKUP(RIGHT($B18,8),'Điểm bài tập lớn'!$B$3:$D$16,3,0)</f>
        <v>1.5</v>
      </c>
      <c r="H18" s="19">
        <f>VLOOKUP(RIGHT($B18,8),'Điểm lý thuyết'!$B$3:$D$16,3,0)</f>
        <v>7</v>
      </c>
      <c r="I18" s="9">
        <f t="shared" si="0"/>
        <v>7.2</v>
      </c>
      <c r="J18" s="20">
        <f>ROUND(IF(OR(G18=0,VALUE(LEFT(B18,1))&gt;2),0,I18+VLOOKUP(VALUE(LEFT(B18,1)),'Các bảng tham chiếu &amp; Thống kê'!$E$3:$F$5,2,FALSE)),1)</f>
        <v>7.5</v>
      </c>
      <c r="K18" s="20" t="str">
        <f>VLOOKUP(J18,'Các bảng tham chiếu &amp; Thống kê'!$A$3:$B$10,2,TRUE)</f>
        <v>B</v>
      </c>
    </row>
    <row r="19" spans="1:11" ht="17.25" customHeight="1" x14ac:dyDescent="0.3">
      <c r="A19" s="3">
        <v>13</v>
      </c>
      <c r="B19" s="2" t="s">
        <v>34</v>
      </c>
      <c r="C19" s="10" t="str">
        <f>VLOOKUP(RIGHT(B19,8),'Các bảng tham chiếu &amp; Thống kê'!$B$14:$D$27,2,0)</f>
        <v>Trần Nam Dương</v>
      </c>
      <c r="D19" s="9">
        <f>VLOOKUP(RIGHT(B19,8),'Điểm thực hành các buổi'!$B$3:$F$16,3,0)</f>
        <v>0.4</v>
      </c>
      <c r="E19" s="9">
        <f>VLOOKUP(RIGHT($B19,8),'Điểm thực hành các buổi'!$B$3:$F$16,4,0)</f>
        <v>0.4</v>
      </c>
      <c r="F19" s="9">
        <f>VLOOKUP(RIGHT($B19,8),'Điểm thực hành các buổi'!$B$3:$F$16,5,0)</f>
        <v>0.35</v>
      </c>
      <c r="G19" s="9">
        <f>VLOOKUP(RIGHT($B19,8),'Điểm bài tập lớn'!$B$3:$D$16,3,0)</f>
        <v>1.35</v>
      </c>
      <c r="H19" s="19">
        <f>VLOOKUP(RIGHT($B19,8),'Điểm lý thuyết'!$B$3:$D$16,3,0)</f>
        <v>-3</v>
      </c>
      <c r="I19" s="9">
        <f t="shared" si="0"/>
        <v>0</v>
      </c>
      <c r="J19" s="20">
        <f>ROUND(IF(OR(G19=0,VALUE(LEFT(B19,1))&gt;2),0,I19+VLOOKUP(VALUE(LEFT(B19,1)),'Các bảng tham chiếu &amp; Thống kê'!$E$3:$F$5,2,FALSE)),1)</f>
        <v>0</v>
      </c>
      <c r="K19" s="20" t="str">
        <f>VLOOKUP(J19,'Các bảng tham chiếu &amp; Thống kê'!$A$3:$B$10,2,TRUE)</f>
        <v>F</v>
      </c>
    </row>
    <row r="20" spans="1:11" ht="17.25" customHeight="1" x14ac:dyDescent="0.3">
      <c r="A20" s="3">
        <v>14</v>
      </c>
      <c r="B20" s="2" t="s">
        <v>35</v>
      </c>
      <c r="C20" s="10" t="str">
        <f>VLOOKUP(RIGHT(B20,8),'Các bảng tham chiếu &amp; Thống kê'!$B$14:$D$27,2,0)</f>
        <v>Nguyễn Duy Khanh</v>
      </c>
      <c r="D20" s="9">
        <f>VLOOKUP(RIGHT(B20,8),'Điểm thực hành các buổi'!$B$3:$F$16,3,0)</f>
        <v>0.35</v>
      </c>
      <c r="E20" s="9">
        <f>VLOOKUP(RIGHT($B20,8),'Điểm thực hành các buổi'!$B$3:$F$16,4,0)</f>
        <v>0.4</v>
      </c>
      <c r="F20" s="9">
        <f>VLOOKUP(RIGHT($B20,8),'Điểm thực hành các buổi'!$B$3:$F$16,5,0)</f>
        <v>0</v>
      </c>
      <c r="G20" s="9">
        <f>VLOOKUP(RIGHT($B20,8),'Điểm bài tập lớn'!$B$3:$D$16,3,0)</f>
        <v>0.85</v>
      </c>
      <c r="H20" s="19">
        <f>VLOOKUP(RIGHT($B20,8),'Điểm lý thuyết'!$B$3:$D$16,3,0)</f>
        <v>6.5</v>
      </c>
      <c r="I20" s="9">
        <f t="shared" si="0"/>
        <v>5.5</v>
      </c>
      <c r="J20" s="20">
        <f>ROUND(IF(OR(G20=0,VALUE(LEFT(B20,1))&gt;2),0,I20+VLOOKUP(VALUE(LEFT(B20,1)),'Các bảng tham chiếu &amp; Thống kê'!$E$3:$F$5,2,FALSE)),1)</f>
        <v>6.5</v>
      </c>
      <c r="K20" s="20" t="str">
        <f>VLOOKUP(J20,'Các bảng tham chiếu &amp; Thống kê'!$A$3:$B$10,2,TRUE)</f>
        <v>C+</v>
      </c>
    </row>
  </sheetData>
  <mergeCells count="7">
    <mergeCell ref="B1:H1"/>
    <mergeCell ref="F3:H3"/>
    <mergeCell ref="F4:H4"/>
    <mergeCell ref="D2:E2"/>
    <mergeCell ref="D3:E3"/>
    <mergeCell ref="D4:E4"/>
    <mergeCell ref="G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activeCell="C24" sqref="C24"/>
    </sheetView>
  </sheetViews>
  <sheetFormatPr defaultColWidth="20.44140625" defaultRowHeight="17.25" customHeight="1" x14ac:dyDescent="0.3"/>
  <cols>
    <col min="1" max="1" width="6" style="4" bestFit="1" customWidth="1"/>
    <col min="2" max="2" width="11.5546875" style="4" bestFit="1" customWidth="1"/>
    <col min="3" max="3" width="21.109375" style="4" bestFit="1" customWidth="1"/>
    <col min="4" max="6" width="12.88671875" style="4" bestFit="1" customWidth="1"/>
    <col min="7" max="16384" width="20.44140625" style="4"/>
  </cols>
  <sheetData>
    <row r="1" spans="1:6" ht="17.25" customHeight="1" x14ac:dyDescent="0.3">
      <c r="A1" s="28" t="s">
        <v>36</v>
      </c>
      <c r="B1" s="28"/>
      <c r="C1" s="28"/>
      <c r="D1" s="28"/>
      <c r="E1" s="28"/>
      <c r="F1" s="28"/>
    </row>
    <row r="2" spans="1:6" ht="17.25" customHeight="1" x14ac:dyDescent="0.3">
      <c r="A2" s="13" t="s">
        <v>11</v>
      </c>
      <c r="B2" s="13" t="s">
        <v>12</v>
      </c>
      <c r="C2" s="13" t="s">
        <v>37</v>
      </c>
      <c r="D2" s="13" t="s">
        <v>14</v>
      </c>
      <c r="E2" s="13" t="s">
        <v>15</v>
      </c>
      <c r="F2" s="13" t="s">
        <v>16</v>
      </c>
    </row>
    <row r="3" spans="1:6" ht="17.25" customHeight="1" x14ac:dyDescent="0.3">
      <c r="A3" s="3">
        <v>1</v>
      </c>
      <c r="B3" s="5" t="s">
        <v>38</v>
      </c>
      <c r="C3" s="5" t="s">
        <v>39</v>
      </c>
      <c r="D3" s="3">
        <v>0.45</v>
      </c>
      <c r="E3" s="3">
        <v>0.25</v>
      </c>
      <c r="F3" s="3">
        <v>0.3</v>
      </c>
    </row>
    <row r="4" spans="1:6" ht="17.25" customHeight="1" x14ac:dyDescent="0.3">
      <c r="A4" s="3">
        <v>2</v>
      </c>
      <c r="B4" s="5" t="s">
        <v>40</v>
      </c>
      <c r="C4" s="5" t="s">
        <v>41</v>
      </c>
      <c r="D4" s="3">
        <v>0.5</v>
      </c>
      <c r="E4" s="3">
        <v>0.35</v>
      </c>
      <c r="F4" s="3">
        <v>0.4</v>
      </c>
    </row>
    <row r="5" spans="1:6" ht="17.25" customHeight="1" x14ac:dyDescent="0.3">
      <c r="A5" s="3">
        <v>3</v>
      </c>
      <c r="B5" s="5" t="s">
        <v>42</v>
      </c>
      <c r="C5" s="5" t="s">
        <v>43</v>
      </c>
      <c r="D5" s="3">
        <v>0.25</v>
      </c>
      <c r="E5" s="3">
        <v>0.25</v>
      </c>
      <c r="F5" s="3">
        <v>0.3</v>
      </c>
    </row>
    <row r="6" spans="1:6" ht="17.25" customHeight="1" x14ac:dyDescent="0.3">
      <c r="A6" s="3">
        <v>4</v>
      </c>
      <c r="B6" s="5" t="s">
        <v>44</v>
      </c>
      <c r="C6" s="5" t="s">
        <v>45</v>
      </c>
      <c r="D6" s="3">
        <v>0.4</v>
      </c>
      <c r="E6" s="3">
        <v>0.25</v>
      </c>
      <c r="F6" s="3">
        <v>0.35</v>
      </c>
    </row>
    <row r="7" spans="1:6" ht="17.25" customHeight="1" x14ac:dyDescent="0.3">
      <c r="A7" s="3">
        <v>5</v>
      </c>
      <c r="B7" s="5" t="s">
        <v>46</v>
      </c>
      <c r="C7" s="5" t="s">
        <v>47</v>
      </c>
      <c r="D7" s="3">
        <v>0.45</v>
      </c>
      <c r="E7" s="3">
        <v>0.4</v>
      </c>
      <c r="F7" s="3">
        <v>0.35</v>
      </c>
    </row>
    <row r="8" spans="1:6" ht="17.25" customHeight="1" x14ac:dyDescent="0.3">
      <c r="A8" s="3">
        <v>6</v>
      </c>
      <c r="B8" s="5" t="s">
        <v>48</v>
      </c>
      <c r="C8" s="5" t="s">
        <v>49</v>
      </c>
      <c r="D8" s="3">
        <v>0.4</v>
      </c>
      <c r="E8" s="3">
        <v>0.45</v>
      </c>
      <c r="F8" s="3">
        <v>0.5</v>
      </c>
    </row>
    <row r="9" spans="1:6" ht="17.25" customHeight="1" x14ac:dyDescent="0.3">
      <c r="A9" s="3">
        <v>7</v>
      </c>
      <c r="B9" s="5" t="s">
        <v>50</v>
      </c>
      <c r="C9" s="5" t="s">
        <v>51</v>
      </c>
      <c r="D9" s="3">
        <v>0.4</v>
      </c>
      <c r="E9" s="3">
        <v>0.4</v>
      </c>
      <c r="F9" s="3">
        <v>0.4</v>
      </c>
    </row>
    <row r="10" spans="1:6" ht="17.25" customHeight="1" x14ac:dyDescent="0.3">
      <c r="A10" s="3">
        <v>8</v>
      </c>
      <c r="B10" s="5" t="s">
        <v>52</v>
      </c>
      <c r="C10" s="5" t="s">
        <v>53</v>
      </c>
      <c r="D10" s="3">
        <v>0.45</v>
      </c>
      <c r="E10" s="3">
        <v>0.4</v>
      </c>
      <c r="F10" s="3">
        <v>0.4</v>
      </c>
    </row>
    <row r="11" spans="1:6" ht="17.25" customHeight="1" x14ac:dyDescent="0.3">
      <c r="A11" s="3">
        <v>9</v>
      </c>
      <c r="B11" s="5" t="s">
        <v>54</v>
      </c>
      <c r="C11" s="5" t="s">
        <v>55</v>
      </c>
      <c r="D11" s="3">
        <v>0.45</v>
      </c>
      <c r="E11" s="3">
        <v>0.4</v>
      </c>
      <c r="F11" s="3">
        <v>0.4</v>
      </c>
    </row>
    <row r="12" spans="1:6" ht="17.25" customHeight="1" x14ac:dyDescent="0.3">
      <c r="A12" s="3">
        <v>10</v>
      </c>
      <c r="B12" s="5" t="s">
        <v>56</v>
      </c>
      <c r="C12" s="5" t="s">
        <v>57</v>
      </c>
      <c r="D12" s="3">
        <v>0.3</v>
      </c>
      <c r="E12" s="3">
        <v>0.5</v>
      </c>
      <c r="F12" s="3">
        <v>0.45</v>
      </c>
    </row>
    <row r="13" spans="1:6" ht="17.25" customHeight="1" x14ac:dyDescent="0.3">
      <c r="A13" s="3">
        <v>11</v>
      </c>
      <c r="B13" s="5" t="s">
        <v>58</v>
      </c>
      <c r="C13" s="5" t="s">
        <v>59</v>
      </c>
      <c r="D13" s="3">
        <v>0.4</v>
      </c>
      <c r="E13" s="3">
        <v>0.45</v>
      </c>
      <c r="F13" s="3">
        <v>0.4</v>
      </c>
    </row>
    <row r="14" spans="1:6" ht="17.25" customHeight="1" x14ac:dyDescent="0.3">
      <c r="A14" s="3">
        <v>12</v>
      </c>
      <c r="B14" s="5" t="s">
        <v>60</v>
      </c>
      <c r="C14" s="5" t="s">
        <v>61</v>
      </c>
      <c r="D14" s="3">
        <v>0.5</v>
      </c>
      <c r="E14" s="3">
        <v>0.5</v>
      </c>
      <c r="F14" s="3">
        <v>0.45</v>
      </c>
    </row>
    <row r="15" spans="1:6" ht="17.25" customHeight="1" x14ac:dyDescent="0.3">
      <c r="A15" s="3">
        <v>13</v>
      </c>
      <c r="B15" s="5" t="s">
        <v>62</v>
      </c>
      <c r="C15" s="5" t="s">
        <v>63</v>
      </c>
      <c r="D15" s="3">
        <v>0.4</v>
      </c>
      <c r="E15" s="3">
        <v>0.4</v>
      </c>
      <c r="F15" s="3">
        <v>0.35</v>
      </c>
    </row>
    <row r="16" spans="1:6" ht="17.25" customHeight="1" x14ac:dyDescent="0.3">
      <c r="A16" s="3">
        <v>14</v>
      </c>
      <c r="B16" s="5" t="s">
        <v>64</v>
      </c>
      <c r="C16" s="5" t="s">
        <v>65</v>
      </c>
      <c r="D16" s="3">
        <v>0.35</v>
      </c>
      <c r="E16" s="3">
        <v>0.4</v>
      </c>
      <c r="F16" s="3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zoomScale="150" workbookViewId="0">
      <selection sqref="A1:XFD1048576"/>
    </sheetView>
  </sheetViews>
  <sheetFormatPr defaultColWidth="8.88671875" defaultRowHeight="17.25" customHeight="1" x14ac:dyDescent="0.3"/>
  <cols>
    <col min="1" max="1" width="6.44140625" style="1" customWidth="1"/>
    <col min="2" max="2" width="13.6640625" style="1" customWidth="1"/>
    <col min="3" max="3" width="21" style="1" customWidth="1"/>
    <col min="4" max="4" width="16.109375" style="1" customWidth="1"/>
    <col min="5" max="16384" width="8.88671875" style="1"/>
  </cols>
  <sheetData>
    <row r="1" spans="1:4" ht="17.25" customHeight="1" x14ac:dyDescent="0.3">
      <c r="A1" s="28" t="s">
        <v>66</v>
      </c>
      <c r="B1" s="28"/>
      <c r="C1" s="28"/>
      <c r="D1" s="28"/>
    </row>
    <row r="2" spans="1:4" s="4" customFormat="1" ht="17.25" customHeight="1" x14ac:dyDescent="0.3">
      <c r="A2" s="13" t="s">
        <v>11</v>
      </c>
      <c r="B2" s="13" t="s">
        <v>12</v>
      </c>
      <c r="C2" s="13" t="s">
        <v>37</v>
      </c>
      <c r="D2" s="13" t="s">
        <v>67</v>
      </c>
    </row>
    <row r="3" spans="1:4" ht="17.25" customHeight="1" x14ac:dyDescent="0.3">
      <c r="A3" s="3">
        <v>1</v>
      </c>
      <c r="B3" s="2" t="s">
        <v>38</v>
      </c>
      <c r="C3" s="5" t="s">
        <v>39</v>
      </c>
      <c r="D3" s="3">
        <v>0.5</v>
      </c>
    </row>
    <row r="4" spans="1:4" ht="17.25" customHeight="1" x14ac:dyDescent="0.3">
      <c r="A4" s="3">
        <v>2</v>
      </c>
      <c r="B4" s="2" t="s">
        <v>40</v>
      </c>
      <c r="C4" s="5" t="s">
        <v>41</v>
      </c>
      <c r="D4" s="3">
        <v>1</v>
      </c>
    </row>
    <row r="5" spans="1:4" ht="17.25" customHeight="1" x14ac:dyDescent="0.3">
      <c r="A5" s="3">
        <v>3</v>
      </c>
      <c r="B5" s="2" t="s">
        <v>42</v>
      </c>
      <c r="C5" s="5" t="s">
        <v>43</v>
      </c>
      <c r="D5" s="3">
        <v>0.5</v>
      </c>
    </row>
    <row r="6" spans="1:4" ht="17.25" customHeight="1" x14ac:dyDescent="0.3">
      <c r="A6" s="3">
        <v>4</v>
      </c>
      <c r="B6" s="2" t="s">
        <v>44</v>
      </c>
      <c r="C6" s="5" t="s">
        <v>45</v>
      </c>
      <c r="D6" s="3">
        <v>1</v>
      </c>
    </row>
    <row r="7" spans="1:4" ht="17.25" customHeight="1" x14ac:dyDescent="0.3">
      <c r="A7" s="3">
        <v>5</v>
      </c>
      <c r="B7" s="2" t="s">
        <v>46</v>
      </c>
      <c r="C7" s="5" t="s">
        <v>47</v>
      </c>
      <c r="D7" s="3">
        <v>0.75</v>
      </c>
    </row>
    <row r="8" spans="1:4" ht="17.25" customHeight="1" x14ac:dyDescent="0.3">
      <c r="A8" s="3">
        <v>6</v>
      </c>
      <c r="B8" s="2" t="s">
        <v>48</v>
      </c>
      <c r="C8" s="5" t="s">
        <v>49</v>
      </c>
      <c r="D8" s="3">
        <v>1.2</v>
      </c>
    </row>
    <row r="9" spans="1:4" ht="17.25" customHeight="1" x14ac:dyDescent="0.3">
      <c r="A9" s="3">
        <v>7</v>
      </c>
      <c r="B9" s="2" t="s">
        <v>50</v>
      </c>
      <c r="C9" s="5" t="s">
        <v>51</v>
      </c>
      <c r="D9" s="3">
        <v>1</v>
      </c>
    </row>
    <row r="10" spans="1:4" ht="17.25" customHeight="1" x14ac:dyDescent="0.3">
      <c r="A10" s="3">
        <v>8</v>
      </c>
      <c r="B10" s="2" t="s">
        <v>52</v>
      </c>
      <c r="C10" s="5" t="s">
        <v>53</v>
      </c>
      <c r="D10" s="3">
        <v>0</v>
      </c>
    </row>
    <row r="11" spans="1:4" ht="17.25" customHeight="1" x14ac:dyDescent="0.3">
      <c r="A11" s="3">
        <v>9</v>
      </c>
      <c r="B11" s="2" t="s">
        <v>54</v>
      </c>
      <c r="C11" s="5" t="s">
        <v>55</v>
      </c>
      <c r="D11" s="3">
        <v>0.75</v>
      </c>
    </row>
    <row r="12" spans="1:4" ht="17.25" customHeight="1" x14ac:dyDescent="0.3">
      <c r="A12" s="3">
        <v>10</v>
      </c>
      <c r="B12" s="2" t="s">
        <v>56</v>
      </c>
      <c r="C12" s="5" t="s">
        <v>57</v>
      </c>
      <c r="D12" s="3">
        <v>0.3</v>
      </c>
    </row>
    <row r="13" spans="1:4" ht="17.25" customHeight="1" x14ac:dyDescent="0.3">
      <c r="A13" s="3">
        <v>11</v>
      </c>
      <c r="B13" s="2" t="s">
        <v>58</v>
      </c>
      <c r="C13" s="5" t="s">
        <v>59</v>
      </c>
      <c r="D13" s="3">
        <v>0.3</v>
      </c>
    </row>
    <row r="14" spans="1:4" ht="17.25" customHeight="1" x14ac:dyDescent="0.3">
      <c r="A14" s="3">
        <v>12</v>
      </c>
      <c r="B14" s="2" t="s">
        <v>60</v>
      </c>
      <c r="C14" s="5" t="s">
        <v>61</v>
      </c>
      <c r="D14" s="3">
        <v>1.5</v>
      </c>
    </row>
    <row r="15" spans="1:4" ht="17.25" customHeight="1" x14ac:dyDescent="0.3">
      <c r="A15" s="3">
        <v>13</v>
      </c>
      <c r="B15" s="2" t="s">
        <v>62</v>
      </c>
      <c r="C15" s="5" t="s">
        <v>63</v>
      </c>
      <c r="D15" s="3">
        <v>1.35</v>
      </c>
    </row>
    <row r="16" spans="1:4" ht="17.25" customHeight="1" x14ac:dyDescent="0.3">
      <c r="A16" s="3">
        <v>14</v>
      </c>
      <c r="B16" s="2" t="s">
        <v>64</v>
      </c>
      <c r="C16" s="5" t="s">
        <v>65</v>
      </c>
      <c r="D16" s="3">
        <v>0.85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sqref="A1:XFD1048576"/>
    </sheetView>
  </sheetViews>
  <sheetFormatPr defaultColWidth="8.88671875" defaultRowHeight="17.25" customHeight="1" x14ac:dyDescent="0.3"/>
  <cols>
    <col min="1" max="1" width="8.6640625" style="4" customWidth="1"/>
    <col min="2" max="2" width="13.6640625" style="4" customWidth="1"/>
    <col min="3" max="3" width="26.5546875" style="4" customWidth="1"/>
    <col min="4" max="4" width="18.6640625" style="4" customWidth="1"/>
    <col min="5" max="16384" width="8.88671875" style="4"/>
  </cols>
  <sheetData>
    <row r="1" spans="1:5" ht="17.25" customHeight="1" x14ac:dyDescent="0.3">
      <c r="A1" s="29" t="s">
        <v>68</v>
      </c>
      <c r="B1" s="29"/>
      <c r="C1" s="29"/>
      <c r="D1" s="29"/>
      <c r="E1" s="14"/>
    </row>
    <row r="2" spans="1:5" ht="17.25" customHeight="1" x14ac:dyDescent="0.3">
      <c r="A2" s="15" t="s">
        <v>11</v>
      </c>
      <c r="B2" s="15" t="s">
        <v>12</v>
      </c>
      <c r="C2" s="15" t="s">
        <v>13</v>
      </c>
      <c r="D2" s="15" t="s">
        <v>68</v>
      </c>
      <c r="E2" s="14"/>
    </row>
    <row r="3" spans="1:5" ht="17.25" customHeight="1" x14ac:dyDescent="0.3">
      <c r="A3" s="3">
        <v>1</v>
      </c>
      <c r="B3" s="5" t="s">
        <v>38</v>
      </c>
      <c r="C3" s="5" t="s">
        <v>39</v>
      </c>
      <c r="D3" s="3">
        <v>4.2</v>
      </c>
    </row>
    <row r="4" spans="1:5" ht="17.25" customHeight="1" x14ac:dyDescent="0.3">
      <c r="A4" s="3">
        <v>2</v>
      </c>
      <c r="B4" s="5" t="s">
        <v>40</v>
      </c>
      <c r="C4" s="5" t="s">
        <v>41</v>
      </c>
      <c r="D4" s="3">
        <v>5.8</v>
      </c>
    </row>
    <row r="5" spans="1:5" ht="17.25" customHeight="1" x14ac:dyDescent="0.3">
      <c r="A5" s="3">
        <v>3</v>
      </c>
      <c r="B5" s="5" t="s">
        <v>42</v>
      </c>
      <c r="C5" s="5" t="s">
        <v>43</v>
      </c>
      <c r="D5" s="3">
        <v>5.8</v>
      </c>
    </row>
    <row r="6" spans="1:5" ht="17.25" customHeight="1" x14ac:dyDescent="0.3">
      <c r="A6" s="3">
        <v>4</v>
      </c>
      <c r="B6" s="5" t="s">
        <v>44</v>
      </c>
      <c r="C6" s="5" t="s">
        <v>45</v>
      </c>
      <c r="D6" s="3">
        <v>4.5</v>
      </c>
    </row>
    <row r="7" spans="1:5" ht="17.25" customHeight="1" x14ac:dyDescent="0.3">
      <c r="A7" s="3">
        <v>5</v>
      </c>
      <c r="B7" s="5" t="s">
        <v>46</v>
      </c>
      <c r="C7" s="5" t="s">
        <v>47</v>
      </c>
      <c r="D7" s="3">
        <v>5.5</v>
      </c>
    </row>
    <row r="8" spans="1:5" ht="17.25" customHeight="1" x14ac:dyDescent="0.3">
      <c r="A8" s="3">
        <v>6</v>
      </c>
      <c r="B8" s="5" t="s">
        <v>48</v>
      </c>
      <c r="C8" s="5" t="s">
        <v>49</v>
      </c>
      <c r="D8" s="3">
        <v>7.5</v>
      </c>
    </row>
    <row r="9" spans="1:5" ht="17.25" customHeight="1" x14ac:dyDescent="0.3">
      <c r="A9" s="3">
        <v>7</v>
      </c>
      <c r="B9" s="5" t="s">
        <v>50</v>
      </c>
      <c r="C9" s="5" t="s">
        <v>51</v>
      </c>
      <c r="D9" s="3">
        <v>5.3</v>
      </c>
    </row>
    <row r="10" spans="1:5" ht="17.25" customHeight="1" x14ac:dyDescent="0.3">
      <c r="A10" s="3">
        <v>8</v>
      </c>
      <c r="B10" s="5" t="s">
        <v>52</v>
      </c>
      <c r="C10" s="5" t="s">
        <v>53</v>
      </c>
      <c r="D10" s="3">
        <v>6.8</v>
      </c>
    </row>
    <row r="11" spans="1:5" ht="17.25" customHeight="1" x14ac:dyDescent="0.3">
      <c r="A11" s="3">
        <v>9</v>
      </c>
      <c r="B11" s="5" t="s">
        <v>54</v>
      </c>
      <c r="C11" s="5" t="s">
        <v>55</v>
      </c>
      <c r="D11" s="3">
        <v>6.3</v>
      </c>
    </row>
    <row r="12" spans="1:5" ht="17.25" customHeight="1" x14ac:dyDescent="0.3">
      <c r="A12" s="3">
        <v>10</v>
      </c>
      <c r="B12" s="5" t="s">
        <v>56</v>
      </c>
      <c r="C12" s="5" t="s">
        <v>57</v>
      </c>
      <c r="D12" s="3">
        <v>8.3000000000000007</v>
      </c>
    </row>
    <row r="13" spans="1:5" ht="17.25" customHeight="1" x14ac:dyDescent="0.3">
      <c r="A13" s="3">
        <v>11</v>
      </c>
      <c r="B13" s="5" t="s">
        <v>58</v>
      </c>
      <c r="C13" s="5" t="s">
        <v>59</v>
      </c>
      <c r="D13" s="3">
        <v>-3</v>
      </c>
    </row>
    <row r="14" spans="1:5" ht="17.25" customHeight="1" x14ac:dyDescent="0.3">
      <c r="A14" s="3">
        <v>12</v>
      </c>
      <c r="B14" s="5" t="s">
        <v>60</v>
      </c>
      <c r="C14" s="5" t="s">
        <v>61</v>
      </c>
      <c r="D14" s="3">
        <v>7</v>
      </c>
    </row>
    <row r="15" spans="1:5" ht="17.25" customHeight="1" x14ac:dyDescent="0.3">
      <c r="A15" s="3">
        <v>13</v>
      </c>
      <c r="B15" s="5" t="s">
        <v>62</v>
      </c>
      <c r="C15" s="5" t="s">
        <v>63</v>
      </c>
      <c r="D15" s="3">
        <v>-3</v>
      </c>
    </row>
    <row r="16" spans="1:5" ht="17.25" customHeight="1" x14ac:dyDescent="0.3">
      <c r="A16" s="3">
        <v>14</v>
      </c>
      <c r="B16" s="5" t="s">
        <v>64</v>
      </c>
      <c r="C16" s="5" t="s">
        <v>65</v>
      </c>
      <c r="D16" s="3">
        <v>6.5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tabSelected="1" topLeftCell="A10" workbookViewId="0">
      <selection activeCell="P22" sqref="P22"/>
    </sheetView>
  </sheetViews>
  <sheetFormatPr defaultColWidth="8.88671875" defaultRowHeight="17.25" customHeight="1" x14ac:dyDescent="0.3"/>
  <cols>
    <col min="1" max="1" width="29" style="1" customWidth="1"/>
    <col min="2" max="2" width="14.109375" style="1" customWidth="1"/>
    <col min="3" max="3" width="26.109375" style="1" customWidth="1"/>
    <col min="4" max="4" width="5.44140625" style="1" customWidth="1"/>
    <col min="5" max="5" width="21.44140625" style="1" customWidth="1"/>
    <col min="6" max="6" width="20" style="1" customWidth="1"/>
    <col min="7" max="16384" width="8.88671875" style="1"/>
  </cols>
  <sheetData>
    <row r="1" spans="1:6" ht="17.25" customHeight="1" x14ac:dyDescent="0.3">
      <c r="A1" s="30" t="s">
        <v>69</v>
      </c>
      <c r="B1" s="30"/>
      <c r="C1" s="30"/>
      <c r="D1" s="18"/>
      <c r="E1" s="30" t="s">
        <v>70</v>
      </c>
      <c r="F1" s="30"/>
    </row>
    <row r="2" spans="1:6" ht="17.25" customHeight="1" x14ac:dyDescent="0.3">
      <c r="A2" s="16" t="s">
        <v>20</v>
      </c>
      <c r="B2" s="16" t="s">
        <v>21</v>
      </c>
      <c r="C2" s="16" t="s">
        <v>71</v>
      </c>
      <c r="E2" s="16" t="s">
        <v>72</v>
      </c>
      <c r="F2" s="16" t="s">
        <v>73</v>
      </c>
    </row>
    <row r="3" spans="1:6" ht="17.25" customHeight="1" x14ac:dyDescent="0.3">
      <c r="A3" s="17">
        <v>0</v>
      </c>
      <c r="B3" s="17" t="s">
        <v>74</v>
      </c>
      <c r="C3" s="17">
        <v>0</v>
      </c>
      <c r="E3" s="3">
        <v>0</v>
      </c>
      <c r="F3" s="3">
        <v>1</v>
      </c>
    </row>
    <row r="4" spans="1:6" ht="17.25" customHeight="1" x14ac:dyDescent="0.3">
      <c r="A4" s="17">
        <v>4</v>
      </c>
      <c r="B4" s="17" t="s">
        <v>75</v>
      </c>
      <c r="C4" s="17">
        <v>1</v>
      </c>
      <c r="E4" s="3">
        <v>1</v>
      </c>
      <c r="F4" s="3">
        <v>0.5</v>
      </c>
    </row>
    <row r="5" spans="1:6" ht="17.25" customHeight="1" x14ac:dyDescent="0.3">
      <c r="A5" s="17">
        <v>5</v>
      </c>
      <c r="B5" s="17" t="s">
        <v>76</v>
      </c>
      <c r="C5" s="17">
        <v>1.5</v>
      </c>
      <c r="E5" s="3">
        <v>2</v>
      </c>
      <c r="F5" s="3">
        <v>0.25</v>
      </c>
    </row>
    <row r="6" spans="1:6" ht="17.25" customHeight="1" x14ac:dyDescent="0.3">
      <c r="A6" s="17">
        <v>5.5</v>
      </c>
      <c r="B6" s="17" t="s">
        <v>77</v>
      </c>
      <c r="C6" s="17">
        <v>2</v>
      </c>
      <c r="E6" s="2"/>
      <c r="F6" s="2"/>
    </row>
    <row r="7" spans="1:6" ht="17.25" customHeight="1" x14ac:dyDescent="0.3">
      <c r="A7" s="17">
        <v>6.5</v>
      </c>
      <c r="B7" s="17" t="s">
        <v>78</v>
      </c>
      <c r="C7" s="17">
        <v>2.5</v>
      </c>
      <c r="E7" s="2"/>
      <c r="F7" s="2"/>
    </row>
    <row r="8" spans="1:6" ht="17.25" customHeight="1" x14ac:dyDescent="0.3">
      <c r="A8" s="17">
        <v>7</v>
      </c>
      <c r="B8" s="17" t="s">
        <v>79</v>
      </c>
      <c r="C8" s="17">
        <v>3</v>
      </c>
      <c r="E8" s="2"/>
      <c r="F8" s="2"/>
    </row>
    <row r="9" spans="1:6" ht="17.25" customHeight="1" x14ac:dyDescent="0.3">
      <c r="A9" s="17">
        <v>8</v>
      </c>
      <c r="B9" s="17" t="s">
        <v>80</v>
      </c>
      <c r="C9" s="17">
        <v>3.5</v>
      </c>
      <c r="E9" s="2"/>
      <c r="F9" s="2"/>
    </row>
    <row r="10" spans="1:6" ht="17.25" customHeight="1" x14ac:dyDescent="0.3">
      <c r="A10" s="17">
        <v>9</v>
      </c>
      <c r="B10" s="17" t="s">
        <v>81</v>
      </c>
      <c r="C10" s="17">
        <v>4</v>
      </c>
      <c r="E10" s="2"/>
      <c r="F10" s="2"/>
    </row>
    <row r="11" spans="1:6" ht="17.25" customHeight="1" x14ac:dyDescent="0.3">
      <c r="A11" s="26"/>
      <c r="B11" s="26"/>
      <c r="C11" s="26"/>
    </row>
    <row r="12" spans="1:6" ht="17.25" customHeight="1" x14ac:dyDescent="0.3">
      <c r="A12" s="31" t="s">
        <v>82</v>
      </c>
      <c r="B12" s="32"/>
      <c r="C12" s="33"/>
      <c r="E12" s="31" t="s">
        <v>83</v>
      </c>
      <c r="F12" s="33"/>
    </row>
    <row r="13" spans="1:6" ht="17.25" customHeight="1" x14ac:dyDescent="0.3">
      <c r="A13" s="16" t="s">
        <v>11</v>
      </c>
      <c r="B13" s="16" t="s">
        <v>12</v>
      </c>
      <c r="C13" s="16" t="s">
        <v>13</v>
      </c>
      <c r="E13" s="16" t="s">
        <v>21</v>
      </c>
      <c r="F13" s="16" t="s">
        <v>84</v>
      </c>
    </row>
    <row r="14" spans="1:6" ht="17.25" customHeight="1" x14ac:dyDescent="0.3">
      <c r="A14" s="3">
        <v>1</v>
      </c>
      <c r="B14" s="2" t="s">
        <v>38</v>
      </c>
      <c r="C14" s="5" t="s">
        <v>39</v>
      </c>
      <c r="E14" s="3" t="s">
        <v>81</v>
      </c>
      <c r="F14" s="2">
        <f>COUNTIF('Tổng hợp điểm'!$K$7:$K$20, E14)</f>
        <v>0</v>
      </c>
    </row>
    <row r="15" spans="1:6" ht="17.25" customHeight="1" x14ac:dyDescent="0.3">
      <c r="A15" s="3">
        <v>2</v>
      </c>
      <c r="B15" s="2" t="s">
        <v>40</v>
      </c>
      <c r="C15" s="5" t="s">
        <v>41</v>
      </c>
      <c r="E15" s="3" t="s">
        <v>80</v>
      </c>
      <c r="F15" s="2">
        <f>COUNTIF('Tổng hợp điểm'!$K$7:$K$20, E15)</f>
        <v>1</v>
      </c>
    </row>
    <row r="16" spans="1:6" ht="17.25" customHeight="1" x14ac:dyDescent="0.3">
      <c r="A16" s="3">
        <v>3</v>
      </c>
      <c r="B16" s="2" t="s">
        <v>42</v>
      </c>
      <c r="C16" s="5" t="s">
        <v>43</v>
      </c>
      <c r="E16" s="3" t="s">
        <v>79</v>
      </c>
      <c r="F16" s="2">
        <f>COUNTIF('Tổng hợp điểm'!$K$7:$K$20, E16)</f>
        <v>2</v>
      </c>
    </row>
    <row r="17" spans="1:6" ht="17.25" customHeight="1" x14ac:dyDescent="0.3">
      <c r="A17" s="3">
        <v>4</v>
      </c>
      <c r="B17" s="2" t="s">
        <v>44</v>
      </c>
      <c r="C17" s="5" t="s">
        <v>45</v>
      </c>
      <c r="E17" s="3" t="s">
        <v>78</v>
      </c>
      <c r="F17" s="2">
        <f>COUNTIF('Tổng hợp điểm'!$K$7:$K$20, E17)</f>
        <v>2</v>
      </c>
    </row>
    <row r="18" spans="1:6" ht="17.25" customHeight="1" x14ac:dyDescent="0.3">
      <c r="A18" s="3">
        <v>5</v>
      </c>
      <c r="B18" s="2" t="s">
        <v>46</v>
      </c>
      <c r="C18" s="5" t="s">
        <v>47</v>
      </c>
      <c r="E18" s="3" t="s">
        <v>77</v>
      </c>
      <c r="F18" s="2">
        <f>COUNTIF('Tổng hợp điểm'!$K$7:$K$20, E18)</f>
        <v>5</v>
      </c>
    </row>
    <row r="19" spans="1:6" ht="17.25" customHeight="1" x14ac:dyDescent="0.3">
      <c r="A19" s="3">
        <v>6</v>
      </c>
      <c r="B19" s="2" t="s">
        <v>48</v>
      </c>
      <c r="C19" s="5" t="s">
        <v>49</v>
      </c>
      <c r="E19" s="3" t="s">
        <v>76</v>
      </c>
      <c r="F19" s="2">
        <f>COUNTIF('Tổng hợp điểm'!$K$7:$K$20, E19)</f>
        <v>1</v>
      </c>
    </row>
    <row r="20" spans="1:6" ht="17.25" customHeight="1" x14ac:dyDescent="0.3">
      <c r="A20" s="3">
        <v>7</v>
      </c>
      <c r="B20" s="2" t="s">
        <v>50</v>
      </c>
      <c r="C20" s="5" t="s">
        <v>51</v>
      </c>
      <c r="E20" s="3" t="s">
        <v>75</v>
      </c>
      <c r="F20" s="2">
        <f>COUNTIF('Tổng hợp điểm'!$K$7:$K$20, E20)</f>
        <v>0</v>
      </c>
    </row>
    <row r="21" spans="1:6" ht="17.25" customHeight="1" x14ac:dyDescent="0.3">
      <c r="A21" s="3">
        <v>8</v>
      </c>
      <c r="B21" s="2" t="s">
        <v>52</v>
      </c>
      <c r="C21" s="5" t="s">
        <v>53</v>
      </c>
      <c r="E21" s="3" t="s">
        <v>74</v>
      </c>
      <c r="F21" s="2">
        <f>COUNTIF('Tổng hợp điểm'!$K$7:$K$20, E21)</f>
        <v>3</v>
      </c>
    </row>
    <row r="22" spans="1:6" ht="17.25" customHeight="1" x14ac:dyDescent="0.3">
      <c r="A22" s="3">
        <v>9</v>
      </c>
      <c r="B22" s="2" t="s">
        <v>54</v>
      </c>
      <c r="C22" s="5" t="s">
        <v>55</v>
      </c>
    </row>
    <row r="23" spans="1:6" ht="17.25" customHeight="1" x14ac:dyDescent="0.3">
      <c r="A23" s="3">
        <v>10</v>
      </c>
      <c r="B23" s="2" t="s">
        <v>56</v>
      </c>
      <c r="C23" s="5" t="s">
        <v>57</v>
      </c>
      <c r="E23" s="30" t="s">
        <v>85</v>
      </c>
      <c r="F23" s="30"/>
    </row>
    <row r="24" spans="1:6" ht="17.25" customHeight="1" x14ac:dyDescent="0.3">
      <c r="A24" s="3">
        <v>11</v>
      </c>
      <c r="B24" s="2" t="s">
        <v>58</v>
      </c>
      <c r="C24" s="5" t="s">
        <v>59</v>
      </c>
      <c r="E24" s="34" t="s">
        <v>86</v>
      </c>
      <c r="F24" s="35">
        <f>COUNTIF('Tổng hợp điểm'!G7:G20,0)+COUNTIF('Tổng hợp điểm'!H7:H20,-3)</f>
        <v>3</v>
      </c>
    </row>
    <row r="25" spans="1:6" ht="17.25" customHeight="1" x14ac:dyDescent="0.3">
      <c r="A25" s="3">
        <v>12</v>
      </c>
      <c r="B25" s="2" t="s">
        <v>60</v>
      </c>
      <c r="C25" s="5" t="s">
        <v>61</v>
      </c>
      <c r="E25" s="34"/>
      <c r="F25" s="35"/>
    </row>
    <row r="26" spans="1:6" ht="17.25" customHeight="1" x14ac:dyDescent="0.3">
      <c r="A26" s="3">
        <v>13</v>
      </c>
      <c r="B26" s="2" t="s">
        <v>62</v>
      </c>
      <c r="C26" s="5" t="s">
        <v>63</v>
      </c>
      <c r="E26" s="34"/>
      <c r="F26" s="36"/>
    </row>
    <row r="27" spans="1:6" ht="17.25" customHeight="1" x14ac:dyDescent="0.3">
      <c r="A27" s="3">
        <v>14</v>
      </c>
      <c r="B27" s="2" t="s">
        <v>64</v>
      </c>
      <c r="C27" s="5" t="s">
        <v>65</v>
      </c>
      <c r="E27" s="22" t="s">
        <v>87</v>
      </c>
      <c r="F27" s="23">
        <f>COUNTIF('Tổng hợp điểm'!B7:B20,"4*")+COUNTIF('Tổng hợp điểm'!B7:B20,"3*")+COUNTIF('Tổng hợp điểm'!B7:B20,"5*")</f>
        <v>2</v>
      </c>
    </row>
  </sheetData>
  <mergeCells count="8">
    <mergeCell ref="A1:C1"/>
    <mergeCell ref="E1:F1"/>
    <mergeCell ref="A12:C12"/>
    <mergeCell ref="E12:F12"/>
    <mergeCell ref="E24:E26"/>
    <mergeCell ref="F24:F26"/>
    <mergeCell ref="E23:F23"/>
    <mergeCell ref="A11:C1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95E2-B371-4562-BF0A-ED21E70DBF9C}">
  <dimension ref="A1:K12"/>
  <sheetViews>
    <sheetView workbookViewId="0">
      <selection activeCell="A2" sqref="A2"/>
    </sheetView>
  </sheetViews>
  <sheetFormatPr defaultColWidth="9.109375" defaultRowHeight="17.25" customHeight="1" x14ac:dyDescent="0.3"/>
  <cols>
    <col min="1" max="1" width="9.109375" style="21"/>
    <col min="2" max="2" width="14.5546875" style="21" customWidth="1"/>
    <col min="3" max="3" width="25.88671875" style="21" customWidth="1"/>
    <col min="4" max="16384" width="9.109375" style="21"/>
  </cols>
  <sheetData>
    <row r="1" spans="1:11" ht="83.25" customHeight="1" x14ac:dyDescent="0.3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</row>
    <row r="2" spans="1:11" ht="17.25" customHeight="1" x14ac:dyDescent="0.3">
      <c r="A2" s="9" cm="1">
        <f t="array" ref="A2:K12">_xlfn._xlws.FILTER('Tổng hợp điểm'!A7:K20,'Tổng hợp điểm'!$J$7:$J$20&lt;7,"Không có dữ liệu")</f>
        <v>1</v>
      </c>
      <c r="B2" s="10" t="str">
        <v>0B1505719</v>
      </c>
      <c r="C2" s="10" t="str">
        <v>Nguyễn Văn Hiếu</v>
      </c>
      <c r="D2" s="9">
        <v>0.45</v>
      </c>
      <c r="E2" s="9">
        <v>0.25</v>
      </c>
      <c r="F2" s="9">
        <v>0.3</v>
      </c>
      <c r="G2" s="9">
        <v>0.5</v>
      </c>
      <c r="H2" s="19">
        <v>4.2</v>
      </c>
      <c r="I2" s="9">
        <v>4</v>
      </c>
      <c r="J2" s="20">
        <v>5</v>
      </c>
      <c r="K2" s="20" t="str">
        <v>D+</v>
      </c>
    </row>
    <row r="3" spans="1:11" ht="17.25" customHeight="1" x14ac:dyDescent="0.3">
      <c r="A3" s="3">
        <v>2</v>
      </c>
      <c r="B3" s="2" t="str">
        <v>1B1505915</v>
      </c>
      <c r="C3" s="10" t="str">
        <v>Lý Minh Trí</v>
      </c>
      <c r="D3" s="9">
        <v>0.5</v>
      </c>
      <c r="E3" s="9">
        <v>0.35</v>
      </c>
      <c r="F3" s="9">
        <v>0.4</v>
      </c>
      <c r="G3" s="9">
        <v>1</v>
      </c>
      <c r="H3" s="19">
        <v>5.8</v>
      </c>
      <c r="I3" s="9">
        <v>5.7</v>
      </c>
      <c r="J3" s="20">
        <v>6.2</v>
      </c>
      <c r="K3" s="20" t="str">
        <v>C</v>
      </c>
    </row>
    <row r="4" spans="1:11" ht="17.25" customHeight="1" x14ac:dyDescent="0.3">
      <c r="A4" s="3">
        <v>3</v>
      </c>
      <c r="B4" s="2" t="str">
        <v>0B1509874</v>
      </c>
      <c r="C4" s="10" t="str">
        <v>Nguyễn Kiều Mi</v>
      </c>
      <c r="D4" s="9">
        <v>0.25</v>
      </c>
      <c r="E4" s="9">
        <v>0.25</v>
      </c>
      <c r="F4" s="9">
        <v>0.3</v>
      </c>
      <c r="G4" s="9">
        <v>0.5</v>
      </c>
      <c r="H4" s="19">
        <v>5.8</v>
      </c>
      <c r="I4" s="9">
        <v>4.8</v>
      </c>
      <c r="J4" s="20">
        <v>5.8</v>
      </c>
      <c r="K4" s="20" t="str">
        <v>C</v>
      </c>
    </row>
    <row r="5" spans="1:11" ht="17.25" customHeight="1" x14ac:dyDescent="0.3">
      <c r="A5" s="3">
        <v>4</v>
      </c>
      <c r="B5" s="2" t="str">
        <v>0B1509929</v>
      </c>
      <c r="C5" s="10" t="str">
        <v>Đặng Duy Linh</v>
      </c>
      <c r="D5" s="9">
        <v>0.4</v>
      </c>
      <c r="E5" s="9">
        <v>0.25</v>
      </c>
      <c r="F5" s="9">
        <v>0.35</v>
      </c>
      <c r="G5" s="9">
        <v>1</v>
      </c>
      <c r="H5" s="19">
        <v>4.5</v>
      </c>
      <c r="I5" s="9">
        <v>4.7</v>
      </c>
      <c r="J5" s="20">
        <v>5.7</v>
      </c>
      <c r="K5" s="20" t="str">
        <v>C</v>
      </c>
    </row>
    <row r="6" spans="1:11" ht="17.25" customHeight="1" x14ac:dyDescent="0.3">
      <c r="A6" s="3">
        <v>5</v>
      </c>
      <c r="B6" s="2" t="str">
        <v>2B1605223</v>
      </c>
      <c r="C6" s="10" t="str">
        <v>Lê Thị Trúc Linh</v>
      </c>
      <c r="D6" s="9">
        <v>0.45</v>
      </c>
      <c r="E6" s="9">
        <v>0.4</v>
      </c>
      <c r="F6" s="9">
        <v>0.35</v>
      </c>
      <c r="G6" s="9">
        <v>0.75</v>
      </c>
      <c r="H6" s="19">
        <v>5.5</v>
      </c>
      <c r="I6" s="9">
        <v>5.3</v>
      </c>
      <c r="J6" s="20">
        <v>5.6</v>
      </c>
      <c r="K6" s="20" t="str">
        <v>C</v>
      </c>
    </row>
    <row r="7" spans="1:11" ht="17.25" customHeight="1" x14ac:dyDescent="0.3">
      <c r="A7" s="3">
        <v>7</v>
      </c>
      <c r="B7" s="2" t="str">
        <v>0B1605249</v>
      </c>
      <c r="C7" s="10" t="str">
        <v>Lê Minh Thông</v>
      </c>
      <c r="D7" s="9">
        <v>0.4</v>
      </c>
      <c r="E7" s="9">
        <v>0.4</v>
      </c>
      <c r="F7" s="9">
        <v>0.4</v>
      </c>
      <c r="G7" s="9">
        <v>1</v>
      </c>
      <c r="H7" s="19">
        <v>5.3</v>
      </c>
      <c r="I7" s="9">
        <v>5.4</v>
      </c>
      <c r="J7" s="20">
        <v>6.4</v>
      </c>
      <c r="K7" s="20" t="str">
        <v>C</v>
      </c>
    </row>
    <row r="8" spans="1:11" ht="17.25" customHeight="1" x14ac:dyDescent="0.3">
      <c r="A8" s="3">
        <v>8</v>
      </c>
      <c r="B8" s="2" t="str">
        <v>0B1605285</v>
      </c>
      <c r="C8" s="10" t="str">
        <v>Huỳnh Thị Diễm</v>
      </c>
      <c r="D8" s="9">
        <v>0.45</v>
      </c>
      <c r="E8" s="9">
        <v>0.4</v>
      </c>
      <c r="F8" s="9">
        <v>0.4</v>
      </c>
      <c r="G8" s="9">
        <v>0</v>
      </c>
      <c r="H8" s="19">
        <v>6.8</v>
      </c>
      <c r="I8" s="9">
        <v>5.3</v>
      </c>
      <c r="J8" s="20">
        <v>0</v>
      </c>
      <c r="K8" s="20" t="str">
        <v>F</v>
      </c>
    </row>
    <row r="9" spans="1:11" ht="17.25" customHeight="1" x14ac:dyDescent="0.3">
      <c r="A9" s="3">
        <v>9</v>
      </c>
      <c r="B9" s="2" t="str">
        <v>0B1605291</v>
      </c>
      <c r="C9" s="10" t="str">
        <v>Trần Thanh Nguyên</v>
      </c>
      <c r="D9" s="9">
        <v>0.45</v>
      </c>
      <c r="E9" s="9">
        <v>0.4</v>
      </c>
      <c r="F9" s="9">
        <v>0.4</v>
      </c>
      <c r="G9" s="9">
        <v>0.75</v>
      </c>
      <c r="H9" s="19">
        <v>6.3</v>
      </c>
      <c r="I9" s="9">
        <v>5.8</v>
      </c>
      <c r="J9" s="20">
        <v>6.8</v>
      </c>
      <c r="K9" s="20" t="str">
        <v>C+</v>
      </c>
    </row>
    <row r="10" spans="1:11" ht="17.25" customHeight="1" x14ac:dyDescent="0.3">
      <c r="A10" s="3">
        <v>11</v>
      </c>
      <c r="B10" s="2" t="str">
        <v>4B1607025</v>
      </c>
      <c r="C10" s="10" t="str">
        <v>Nguyễn Chí Thanh</v>
      </c>
      <c r="D10" s="9">
        <v>0.4</v>
      </c>
      <c r="E10" s="9">
        <v>0.45</v>
      </c>
      <c r="F10" s="9">
        <v>0.4</v>
      </c>
      <c r="G10" s="9">
        <v>0.3</v>
      </c>
      <c r="H10" s="19">
        <v>-3</v>
      </c>
      <c r="I10" s="9">
        <v>0</v>
      </c>
      <c r="J10" s="20">
        <v>0</v>
      </c>
      <c r="K10" s="20" t="str">
        <v>F</v>
      </c>
    </row>
    <row r="11" spans="1:11" ht="17.25" customHeight="1" x14ac:dyDescent="0.3">
      <c r="A11" s="3">
        <v>13</v>
      </c>
      <c r="B11" s="2" t="str">
        <v>5B1609765</v>
      </c>
      <c r="C11" s="10" t="str">
        <v>Trần Nam Dương</v>
      </c>
      <c r="D11" s="9">
        <v>0.4</v>
      </c>
      <c r="E11" s="9">
        <v>0.4</v>
      </c>
      <c r="F11" s="9">
        <v>0.35</v>
      </c>
      <c r="G11" s="9">
        <v>1.35</v>
      </c>
      <c r="H11" s="19">
        <v>-3</v>
      </c>
      <c r="I11" s="9">
        <v>0</v>
      </c>
      <c r="J11" s="20">
        <v>0</v>
      </c>
      <c r="K11" s="20" t="str">
        <v>F</v>
      </c>
    </row>
    <row r="12" spans="1:11" ht="17.25" customHeight="1" x14ac:dyDescent="0.3">
      <c r="A12" s="3">
        <v>14</v>
      </c>
      <c r="B12" s="2" t="str">
        <v>0B1609773</v>
      </c>
      <c r="C12" s="10" t="str">
        <v>Nguyễn Duy Khanh</v>
      </c>
      <c r="D12" s="9">
        <v>0.35</v>
      </c>
      <c r="E12" s="9">
        <v>0.4</v>
      </c>
      <c r="F12" s="9">
        <v>0</v>
      </c>
      <c r="G12" s="9">
        <v>0.85</v>
      </c>
      <c r="H12" s="19">
        <v>6.5</v>
      </c>
      <c r="I12" s="9">
        <v>5.5</v>
      </c>
      <c r="J12" s="20">
        <v>6.5</v>
      </c>
      <c r="K12" s="20" t="str">
        <v>C+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1EE1-F8FC-426A-A088-8BA8E2623F22}">
  <sheetPr filterMode="1"/>
  <dimension ref="A1:K15"/>
  <sheetViews>
    <sheetView workbookViewId="0">
      <selection activeCell="O16" sqref="O16"/>
    </sheetView>
  </sheetViews>
  <sheetFormatPr defaultColWidth="9.109375" defaultRowHeight="17.25" customHeight="1" x14ac:dyDescent="0.3"/>
  <cols>
    <col min="1" max="1" width="9.109375" style="21"/>
    <col min="2" max="2" width="19.33203125" style="21" customWidth="1"/>
    <col min="3" max="3" width="29.33203125" style="21" customWidth="1"/>
    <col min="4" max="16384" width="9.109375" style="21"/>
  </cols>
  <sheetData>
    <row r="1" spans="1:11" ht="85.5" customHeight="1" x14ac:dyDescent="0.3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</row>
    <row r="2" spans="1:11" ht="17.25" hidden="1" customHeight="1" x14ac:dyDescent="0.3">
      <c r="A2" s="9">
        <v>1</v>
      </c>
      <c r="B2" s="10" t="s">
        <v>22</v>
      </c>
      <c r="C2" s="10" t="str">
        <f>VLOOKUP(RIGHT(B2,8),'Các bảng tham chiếu &amp; Thống kê'!$B$14:$D$27,2,0)</f>
        <v>Nguyễn Văn Hiếu</v>
      </c>
      <c r="D2" s="9">
        <f>VLOOKUP(RIGHT($B2,8),'Điểm thực hành các buổi'!$B$3:$F$16,3,0)</f>
        <v>0.45</v>
      </c>
      <c r="E2" s="9">
        <f>VLOOKUP(RIGHT($B2,8),'Điểm thực hành các buổi'!$B$3:$F$16,4,0)</f>
        <v>0.25</v>
      </c>
      <c r="F2" s="9">
        <f>VLOOKUP(RIGHT($B2,8),'Điểm thực hành các buổi'!$B$3:$F$16,5,0)</f>
        <v>0.3</v>
      </c>
      <c r="G2" s="9">
        <f>VLOOKUP(RIGHT($B2,8),'Điểm bài tập lớn'!$B$3:$D$16,3,0)</f>
        <v>0.5</v>
      </c>
      <c r="H2" s="19">
        <f>VLOOKUP(RIGHT($B2,8),'Điểm lý thuyết'!$B$3:$D$16,3,0)</f>
        <v>4.2</v>
      </c>
      <c r="I2" s="9">
        <f>ROUND(IF(H2=-3,0,D2+E2+F2+G2+0.6*H2),1)</f>
        <v>4</v>
      </c>
      <c r="J2" s="20">
        <f>ROUND(IF(OR(G2=0,VALUE(LEFT(B2,1))&gt;2),0,I2+VLOOKUP(VALUE(LEFT(B2,1)),'Các bảng tham chiếu &amp; Thống kê'!$E$3:$F$5,2,FALSE)),1)</f>
        <v>5</v>
      </c>
      <c r="K2" s="20" t="str">
        <f>VLOOKUP(J2,'Các bảng tham chiếu &amp; Thống kê'!$A$3:$B$10,2,TRUE)</f>
        <v>D+</v>
      </c>
    </row>
    <row r="3" spans="1:11" ht="17.25" hidden="1" customHeight="1" x14ac:dyDescent="0.3">
      <c r="A3" s="3">
        <v>2</v>
      </c>
      <c r="B3" s="2" t="s">
        <v>23</v>
      </c>
      <c r="C3" s="10" t="str">
        <f>VLOOKUP(RIGHT(B3,8),'Các bảng tham chiếu &amp; Thống kê'!$B$14:$D$27,2,0)</f>
        <v>Lý Minh Trí</v>
      </c>
      <c r="D3" s="9">
        <f>VLOOKUP(RIGHT(B3,8),'Điểm thực hành các buổi'!$B$3:$F$16,3,0)</f>
        <v>0.5</v>
      </c>
      <c r="E3" s="9">
        <f>VLOOKUP(RIGHT($B3,8),'Điểm thực hành các buổi'!$B$3:$F$16,4,0)</f>
        <v>0.35</v>
      </c>
      <c r="F3" s="9">
        <f>VLOOKUP(RIGHT($B3,8),'Điểm thực hành các buổi'!$B$3:$F$16,5,0)</f>
        <v>0.4</v>
      </c>
      <c r="G3" s="9">
        <f>VLOOKUP(RIGHT($B3,8),'Điểm bài tập lớn'!$B$3:$D$16,3,0)</f>
        <v>1</v>
      </c>
      <c r="H3" s="19">
        <f>VLOOKUP(RIGHT($B3,8),'Điểm lý thuyết'!$B$3:$D$16,3,0)</f>
        <v>5.8</v>
      </c>
      <c r="I3" s="9">
        <f t="shared" ref="I3:I15" si="0">ROUND(IF(H3=-3,0,D3+E3+F3+G3+0.6*H3),1)</f>
        <v>5.7</v>
      </c>
      <c r="J3" s="20">
        <f>ROUND(IF(OR(G3=0,VALUE(LEFT(B3,1))&gt;2),0,I3+VLOOKUP(VALUE(LEFT(B3,1)),'Các bảng tham chiếu &amp; Thống kê'!$E$3:$F$5,2,FALSE)),1)</f>
        <v>6.2</v>
      </c>
      <c r="K3" s="20" t="str">
        <f>VLOOKUP(J3,'Các bảng tham chiếu &amp; Thống kê'!$A$3:$B$10,2,TRUE)</f>
        <v>C</v>
      </c>
    </row>
    <row r="4" spans="1:11" ht="17.25" hidden="1" customHeight="1" x14ac:dyDescent="0.3">
      <c r="A4" s="3">
        <v>3</v>
      </c>
      <c r="B4" s="2" t="s">
        <v>24</v>
      </c>
      <c r="C4" s="10" t="str">
        <f>VLOOKUP(RIGHT(B4,8),'Các bảng tham chiếu &amp; Thống kê'!$B$14:$D$27,2,0)</f>
        <v>Nguyễn Kiều Mi</v>
      </c>
      <c r="D4" s="9">
        <f>VLOOKUP(RIGHT(B4,8),'Điểm thực hành các buổi'!$B$3:$F$16,3,0)</f>
        <v>0.25</v>
      </c>
      <c r="E4" s="9">
        <f>VLOOKUP(RIGHT($B4,8),'Điểm thực hành các buổi'!$B$3:$F$16,4,0)</f>
        <v>0.25</v>
      </c>
      <c r="F4" s="9">
        <f>VLOOKUP(RIGHT($B4,8),'Điểm thực hành các buổi'!$B$3:$F$16,5,0)</f>
        <v>0.3</v>
      </c>
      <c r="G4" s="9">
        <f>VLOOKUP(RIGHT($B4,8),'Điểm bài tập lớn'!$B$3:$D$16,3,0)</f>
        <v>0.5</v>
      </c>
      <c r="H4" s="19">
        <f>VLOOKUP(RIGHT($B4,8),'Điểm lý thuyết'!$B$3:$D$16,3,0)</f>
        <v>5.8</v>
      </c>
      <c r="I4" s="9">
        <f>ROUND(IF(H4=-3,0,D4+E4+F4+G4+0.6*H4),1)</f>
        <v>4.8</v>
      </c>
      <c r="J4" s="20">
        <f>ROUND(IF(OR(G4=0,VALUE(LEFT(B4,1))&gt;2),0,I4+VLOOKUP(VALUE(LEFT(B4,1)),'Các bảng tham chiếu &amp; Thống kê'!$E$3:$F$5,2,FALSE)),1)</f>
        <v>5.8</v>
      </c>
      <c r="K4" s="20" t="str">
        <f>VLOOKUP(J4,'Các bảng tham chiếu &amp; Thống kê'!$A$3:$B$10,2,TRUE)</f>
        <v>C</v>
      </c>
    </row>
    <row r="5" spans="1:11" ht="17.25" hidden="1" customHeight="1" x14ac:dyDescent="0.3">
      <c r="A5" s="3">
        <v>4</v>
      </c>
      <c r="B5" s="2" t="s">
        <v>25</v>
      </c>
      <c r="C5" s="10" t="str">
        <f>VLOOKUP(RIGHT(B5,8),'Các bảng tham chiếu &amp; Thống kê'!$B$14:$D$27,2,0)</f>
        <v>Đặng Duy Linh</v>
      </c>
      <c r="D5" s="9">
        <f>VLOOKUP(RIGHT(B5,8),'Điểm thực hành các buổi'!$B$3:$F$16,3,0)</f>
        <v>0.4</v>
      </c>
      <c r="E5" s="9">
        <f>VLOOKUP(RIGHT($B5,8),'Điểm thực hành các buổi'!$B$3:$F$16,4,0)</f>
        <v>0.25</v>
      </c>
      <c r="F5" s="9">
        <f>VLOOKUP(RIGHT($B5,8),'Điểm thực hành các buổi'!$B$3:$F$16,5,0)</f>
        <v>0.35</v>
      </c>
      <c r="G5" s="9">
        <f>VLOOKUP(RIGHT($B5,8),'Điểm bài tập lớn'!$B$3:$D$16,3,0)</f>
        <v>1</v>
      </c>
      <c r="H5" s="19">
        <f>VLOOKUP(RIGHT($B5,8),'Điểm lý thuyết'!$B$3:$D$16,3,0)</f>
        <v>4.5</v>
      </c>
      <c r="I5" s="9">
        <f t="shared" si="0"/>
        <v>4.7</v>
      </c>
      <c r="J5" s="20">
        <f>ROUND(IF(OR(G5=0,VALUE(LEFT(B5,1))&gt;2),0,I5+VLOOKUP(VALUE(LEFT(B5,1)),'Các bảng tham chiếu &amp; Thống kê'!$E$3:$F$5,2,FALSE)),1)</f>
        <v>5.7</v>
      </c>
      <c r="K5" s="20" t="str">
        <f>VLOOKUP(J5,'Các bảng tham chiếu &amp; Thống kê'!$A$3:$B$10,2,TRUE)</f>
        <v>C</v>
      </c>
    </row>
    <row r="6" spans="1:11" ht="17.25" hidden="1" customHeight="1" x14ac:dyDescent="0.3">
      <c r="A6" s="3">
        <v>5</v>
      </c>
      <c r="B6" s="2" t="s">
        <v>26</v>
      </c>
      <c r="C6" s="10" t="str">
        <f>VLOOKUP(RIGHT(B6,8),'Các bảng tham chiếu &amp; Thống kê'!$B$14:$D$27,2,0)</f>
        <v>Lê Thị Trúc Linh</v>
      </c>
      <c r="D6" s="9">
        <f>VLOOKUP(RIGHT(B6,8),'Điểm thực hành các buổi'!$B$3:$F$16,3,0)</f>
        <v>0.45</v>
      </c>
      <c r="E6" s="9">
        <f>VLOOKUP(RIGHT($B6,8),'Điểm thực hành các buổi'!$B$3:$F$16,4,0)</f>
        <v>0.4</v>
      </c>
      <c r="F6" s="9">
        <f>VLOOKUP(RIGHT($B6,8),'Điểm thực hành các buổi'!$B$3:$F$16,5,0)</f>
        <v>0.35</v>
      </c>
      <c r="G6" s="9">
        <f>VLOOKUP(RIGHT($B6,8),'Điểm bài tập lớn'!$B$3:$D$16,3,0)</f>
        <v>0.75</v>
      </c>
      <c r="H6" s="19">
        <f>VLOOKUP(RIGHT($B6,8),'Điểm lý thuyết'!$B$3:$D$16,3,0)</f>
        <v>5.5</v>
      </c>
      <c r="I6" s="9">
        <f t="shared" si="0"/>
        <v>5.3</v>
      </c>
      <c r="J6" s="20">
        <f>ROUND(IF(OR(G6=0,VALUE(LEFT(B6,1))&gt;2),0,I6+VLOOKUP(VALUE(LEFT(B6,1)),'Các bảng tham chiếu &amp; Thống kê'!$E$3:$F$5,2,FALSE)),1)</f>
        <v>5.6</v>
      </c>
      <c r="K6" s="20" t="str">
        <f>VLOOKUP(J6,'Các bảng tham chiếu &amp; Thống kê'!$A$3:$B$10,2,TRUE)</f>
        <v>C</v>
      </c>
    </row>
    <row r="7" spans="1:11" ht="17.25" customHeight="1" x14ac:dyDescent="0.3">
      <c r="A7" s="3">
        <v>6</v>
      </c>
      <c r="B7" s="2" t="s">
        <v>27</v>
      </c>
      <c r="C7" s="10" t="str">
        <f>VLOOKUP(RIGHT(B7,8),'Các bảng tham chiếu &amp; Thống kê'!$B$14:$D$27,2,0)</f>
        <v>Phạm Thị Huỳnh</v>
      </c>
      <c r="D7" s="9">
        <f>VLOOKUP(RIGHT(B7,8),'Điểm thực hành các buổi'!$B$3:$F$16,3,0)</f>
        <v>0.4</v>
      </c>
      <c r="E7" s="9">
        <f>VLOOKUP(RIGHT($B7,8),'Điểm thực hành các buổi'!$B$3:$F$16,4,0)</f>
        <v>0.45</v>
      </c>
      <c r="F7" s="9">
        <f>VLOOKUP(RIGHT($B7,8),'Điểm thực hành các buổi'!$B$3:$F$16,5,0)</f>
        <v>0.5</v>
      </c>
      <c r="G7" s="9">
        <f>VLOOKUP(RIGHT($B7,8),'Điểm bài tập lớn'!$B$3:$D$16,3,0)</f>
        <v>1.2</v>
      </c>
      <c r="H7" s="19">
        <f>VLOOKUP(RIGHT($B7,8),'Điểm lý thuyết'!$B$3:$D$16,3,0)</f>
        <v>7.5</v>
      </c>
      <c r="I7" s="9">
        <f t="shared" si="0"/>
        <v>7.1</v>
      </c>
      <c r="J7" s="20">
        <f>ROUND(IF(OR(G7=0,VALUE(LEFT(B7,1))&gt;2),0,I7+VLOOKUP(VALUE(LEFT(B7,1)),'Các bảng tham chiếu &amp; Thống kê'!$E$3:$F$5,2,FALSE)),1)</f>
        <v>8.1</v>
      </c>
      <c r="K7" s="20" t="str">
        <f>VLOOKUP(J7,'Các bảng tham chiếu &amp; Thống kê'!$A$3:$B$10,2,TRUE)</f>
        <v>B+</v>
      </c>
    </row>
    <row r="8" spans="1:11" ht="17.25" hidden="1" customHeight="1" x14ac:dyDescent="0.3">
      <c r="A8" s="3">
        <v>7</v>
      </c>
      <c r="B8" s="2" t="s">
        <v>28</v>
      </c>
      <c r="C8" s="10" t="str">
        <f>VLOOKUP(RIGHT(B8,8),'Các bảng tham chiếu &amp; Thống kê'!$B$14:$D$27,2,0)</f>
        <v>Lê Minh Thông</v>
      </c>
      <c r="D8" s="9">
        <f>VLOOKUP(RIGHT(B8,8),'Điểm thực hành các buổi'!$B$3:$F$16,3,0)</f>
        <v>0.4</v>
      </c>
      <c r="E8" s="9">
        <f>VLOOKUP(RIGHT($B8,8),'Điểm thực hành các buổi'!$B$3:$F$16,4,0)</f>
        <v>0.4</v>
      </c>
      <c r="F8" s="9">
        <f>VLOOKUP(RIGHT($B8,8),'Điểm thực hành các buổi'!$B$3:$F$16,5,0)</f>
        <v>0.4</v>
      </c>
      <c r="G8" s="9">
        <f>VLOOKUP(RIGHT($B8,8),'Điểm bài tập lớn'!$B$3:$D$16,3,0)</f>
        <v>1</v>
      </c>
      <c r="H8" s="19">
        <f>VLOOKUP(RIGHT($B8,8),'Điểm lý thuyết'!$B$3:$D$16,3,0)</f>
        <v>5.3</v>
      </c>
      <c r="I8" s="9">
        <f t="shared" si="0"/>
        <v>5.4</v>
      </c>
      <c r="J8" s="20">
        <f>ROUND(IF(OR(G8=0,VALUE(LEFT(B8,1))&gt;2),0,I8+VLOOKUP(VALUE(LEFT(B8,1)),'Các bảng tham chiếu &amp; Thống kê'!$E$3:$F$5,2,FALSE)),1)</f>
        <v>6.4</v>
      </c>
      <c r="K8" s="20" t="str">
        <f>VLOOKUP(J8,'Các bảng tham chiếu &amp; Thống kê'!$A$3:$B$10,2,TRUE)</f>
        <v>C</v>
      </c>
    </row>
    <row r="9" spans="1:11" ht="17.25" hidden="1" customHeight="1" x14ac:dyDescent="0.3">
      <c r="A9" s="3">
        <v>8</v>
      </c>
      <c r="B9" s="2" t="s">
        <v>29</v>
      </c>
      <c r="C9" s="10" t="str">
        <f>VLOOKUP(RIGHT(B9,8),'Các bảng tham chiếu &amp; Thống kê'!$B$14:$D$27,2,0)</f>
        <v>Huỳnh Thị Diễm</v>
      </c>
      <c r="D9" s="9">
        <f>VLOOKUP(RIGHT(B9,8),'Điểm thực hành các buổi'!$B$3:$F$16,3,0)</f>
        <v>0.45</v>
      </c>
      <c r="E9" s="9">
        <f>VLOOKUP(RIGHT($B9,8),'Điểm thực hành các buổi'!$B$3:$F$16,4,0)</f>
        <v>0.4</v>
      </c>
      <c r="F9" s="9">
        <f>VLOOKUP(RIGHT($B9,8),'Điểm thực hành các buổi'!$B$3:$F$16,5,0)</f>
        <v>0.4</v>
      </c>
      <c r="G9" s="9">
        <f>VLOOKUP(RIGHT($B9,8),'Điểm bài tập lớn'!$B$3:$D$16,3,0)</f>
        <v>0</v>
      </c>
      <c r="H9" s="19">
        <f>VLOOKUP(RIGHT($B9,8),'Điểm lý thuyết'!$B$3:$D$16,3,0)</f>
        <v>6.8</v>
      </c>
      <c r="I9" s="9">
        <f t="shared" si="0"/>
        <v>5.3</v>
      </c>
      <c r="J9" s="20">
        <f>ROUND(IF(OR(G9=0,VALUE(LEFT(B9,1))&gt;2),0,I9+VLOOKUP(VALUE(LEFT(B9,1)),'Các bảng tham chiếu &amp; Thống kê'!$E$3:$F$5,2,FALSE)),1)</f>
        <v>0</v>
      </c>
      <c r="K9" s="20" t="str">
        <f>VLOOKUP(J9,'Các bảng tham chiếu &amp; Thống kê'!$A$3:$B$10,2,TRUE)</f>
        <v>F</v>
      </c>
    </row>
    <row r="10" spans="1:11" ht="17.25" hidden="1" customHeight="1" x14ac:dyDescent="0.3">
      <c r="A10" s="3">
        <v>9</v>
      </c>
      <c r="B10" s="2" t="s">
        <v>30</v>
      </c>
      <c r="C10" s="10" t="str">
        <f>VLOOKUP(RIGHT(B10,8),'Các bảng tham chiếu &amp; Thống kê'!$B$14:$D$27,2,0)</f>
        <v>Trần Thanh Nguyên</v>
      </c>
      <c r="D10" s="9">
        <f>VLOOKUP(RIGHT(B10,8),'Điểm thực hành các buổi'!$B$3:$F$16,3,0)</f>
        <v>0.45</v>
      </c>
      <c r="E10" s="9">
        <f>VLOOKUP(RIGHT($B10,8),'Điểm thực hành các buổi'!$B$3:$F$16,4,0)</f>
        <v>0.4</v>
      </c>
      <c r="F10" s="9">
        <f>VLOOKUP(RIGHT($B10,8),'Điểm thực hành các buổi'!$B$3:$F$16,5,0)</f>
        <v>0.4</v>
      </c>
      <c r="G10" s="9">
        <f>VLOOKUP(RIGHT($B10,8),'Điểm bài tập lớn'!$B$3:$D$16,3,0)</f>
        <v>0.75</v>
      </c>
      <c r="H10" s="19">
        <f>VLOOKUP(RIGHT($B10,8),'Điểm lý thuyết'!$B$3:$D$16,3,0)</f>
        <v>6.3</v>
      </c>
      <c r="I10" s="9">
        <f t="shared" si="0"/>
        <v>5.8</v>
      </c>
      <c r="J10" s="20">
        <f>ROUND(IF(OR(G10=0,VALUE(LEFT(B10,1))&gt;2),0,I10+VLOOKUP(VALUE(LEFT(B10,1)),'Các bảng tham chiếu &amp; Thống kê'!$E$3:$F$5,2,FALSE)),1)</f>
        <v>6.8</v>
      </c>
      <c r="K10" s="20" t="str">
        <f>VLOOKUP(J10,'Các bảng tham chiếu &amp; Thống kê'!$A$3:$B$10,2,TRUE)</f>
        <v>C+</v>
      </c>
    </row>
    <row r="11" spans="1:11" ht="17.25" hidden="1" customHeight="1" x14ac:dyDescent="0.3">
      <c r="A11" s="3">
        <v>10</v>
      </c>
      <c r="B11" s="2" t="s">
        <v>31</v>
      </c>
      <c r="C11" s="10" t="str">
        <f>VLOOKUP(RIGHT(B11,8),'Các bảng tham chiếu &amp; Thống kê'!$B$14:$D$27,2,0)</f>
        <v>Nguyễn Thị Đào</v>
      </c>
      <c r="D11" s="9">
        <f>VLOOKUP(RIGHT(B11,8),'Điểm thực hành các buổi'!$B$3:$F$16,3,0)</f>
        <v>0.3</v>
      </c>
      <c r="E11" s="9">
        <f>VLOOKUP(RIGHT($B11,8),'Điểm thực hành các buổi'!$B$3:$F$16,4,0)</f>
        <v>0.5</v>
      </c>
      <c r="F11" s="9">
        <f>VLOOKUP(RIGHT($B11,8),'Điểm thực hành các buổi'!$B$3:$F$16,5,0)</f>
        <v>0.45</v>
      </c>
      <c r="G11" s="9">
        <f>VLOOKUP(RIGHT($B11,8),'Điểm bài tập lớn'!$B$3:$D$16,3,0)</f>
        <v>0.3</v>
      </c>
      <c r="H11" s="19">
        <f>VLOOKUP(RIGHT($B11,8),'Điểm lý thuyết'!$B$3:$D$16,3,0)</f>
        <v>8.3000000000000007</v>
      </c>
      <c r="I11" s="9">
        <f t="shared" si="0"/>
        <v>6.5</v>
      </c>
      <c r="J11" s="20">
        <f>ROUND(IF(OR(G11=0,VALUE(LEFT(B11,1))&gt;2),0,I11+VLOOKUP(VALUE(LEFT(B11,1)),'Các bảng tham chiếu &amp; Thống kê'!$E$3:$F$5,2,FALSE)),1)</f>
        <v>7</v>
      </c>
      <c r="K11" s="20" t="str">
        <f>VLOOKUP(J11,'Các bảng tham chiếu &amp; Thống kê'!$A$3:$B$10,2,TRUE)</f>
        <v>B</v>
      </c>
    </row>
    <row r="12" spans="1:11" ht="17.25" hidden="1" customHeight="1" x14ac:dyDescent="0.3">
      <c r="A12" s="3">
        <v>11</v>
      </c>
      <c r="B12" s="2" t="s">
        <v>32</v>
      </c>
      <c r="C12" s="10" t="str">
        <f>VLOOKUP(RIGHT(B12,8),'Các bảng tham chiếu &amp; Thống kê'!$B$14:$D$27,2,0)</f>
        <v>Nguyễn Chí Thanh</v>
      </c>
      <c r="D12" s="9">
        <f>VLOOKUP(RIGHT(B12,8),'Điểm thực hành các buổi'!$B$3:$F$16,3,0)</f>
        <v>0.4</v>
      </c>
      <c r="E12" s="9">
        <f>VLOOKUP(RIGHT($B12,8),'Điểm thực hành các buổi'!$B$3:$F$16,4,0)</f>
        <v>0.45</v>
      </c>
      <c r="F12" s="9">
        <f>VLOOKUP(RIGHT($B12,8),'Điểm thực hành các buổi'!$B$3:$F$16,5,0)</f>
        <v>0.4</v>
      </c>
      <c r="G12" s="9">
        <f>VLOOKUP(RIGHT($B12,8),'Điểm bài tập lớn'!$B$3:$D$16,3,0)</f>
        <v>0.3</v>
      </c>
      <c r="H12" s="19">
        <f>VLOOKUP(RIGHT($B12,8),'Điểm lý thuyết'!$B$3:$D$16,3,0)</f>
        <v>-3</v>
      </c>
      <c r="I12" s="9">
        <f t="shared" si="0"/>
        <v>0</v>
      </c>
      <c r="J12" s="20">
        <f>ROUND(IF(OR(G12=0,VALUE(LEFT(B12,1))&gt;2),0,I12+VLOOKUP(VALUE(LEFT(B12,1)),'Các bảng tham chiếu &amp; Thống kê'!$E$3:$F$5,2,FALSE)),1)</f>
        <v>0</v>
      </c>
      <c r="K12" s="20" t="str">
        <f>VLOOKUP(J12,'Các bảng tham chiếu &amp; Thống kê'!$A$3:$B$10,2,TRUE)</f>
        <v>F</v>
      </c>
    </row>
    <row r="13" spans="1:11" ht="17.25" hidden="1" customHeight="1" x14ac:dyDescent="0.3">
      <c r="A13" s="3">
        <v>12</v>
      </c>
      <c r="B13" s="2" t="s">
        <v>33</v>
      </c>
      <c r="C13" s="10" t="str">
        <f>VLOOKUP(RIGHT(B13,8),'Các bảng tham chiếu &amp; Thống kê'!$B$14:$D$27,2,0)</f>
        <v>Nguyễn Hải Anh</v>
      </c>
      <c r="D13" s="9">
        <f>VLOOKUP(RIGHT(B13,8),'Điểm thực hành các buổi'!$B$3:$F$16,3,0)</f>
        <v>0.5</v>
      </c>
      <c r="E13" s="9">
        <f>VLOOKUP(RIGHT($B13,8),'Điểm thực hành các buổi'!$B$3:$F$16,4,0)</f>
        <v>0.5</v>
      </c>
      <c r="F13" s="9">
        <f>VLOOKUP(RIGHT($B13,8),'Điểm thực hành các buổi'!$B$3:$F$16,5,0)</f>
        <v>0.45</v>
      </c>
      <c r="G13" s="9">
        <f>VLOOKUP(RIGHT($B13,8),'Điểm bài tập lớn'!$B$3:$D$16,3,0)</f>
        <v>1.5</v>
      </c>
      <c r="H13" s="19">
        <f>VLOOKUP(RIGHT($B13,8),'Điểm lý thuyết'!$B$3:$D$16,3,0)</f>
        <v>7</v>
      </c>
      <c r="I13" s="9">
        <f t="shared" si="0"/>
        <v>7.2</v>
      </c>
      <c r="J13" s="20">
        <f>ROUND(IF(OR(G13=0,VALUE(LEFT(B13,1))&gt;2),0,I13+VLOOKUP(VALUE(LEFT(B13,1)),'Các bảng tham chiếu &amp; Thống kê'!$E$3:$F$5,2,FALSE)),1)</f>
        <v>7.5</v>
      </c>
      <c r="K13" s="20" t="str">
        <f>VLOOKUP(J13,'Các bảng tham chiếu &amp; Thống kê'!$A$3:$B$10,2,TRUE)</f>
        <v>B</v>
      </c>
    </row>
    <row r="14" spans="1:11" ht="17.25" hidden="1" customHeight="1" x14ac:dyDescent="0.3">
      <c r="A14" s="3">
        <v>13</v>
      </c>
      <c r="B14" s="2" t="s">
        <v>34</v>
      </c>
      <c r="C14" s="10" t="str">
        <f>VLOOKUP(RIGHT(B14,8),'Các bảng tham chiếu &amp; Thống kê'!$B$14:$D$27,2,0)</f>
        <v>Trần Nam Dương</v>
      </c>
      <c r="D14" s="9">
        <f>VLOOKUP(RIGHT(B14,8),'Điểm thực hành các buổi'!$B$3:$F$16,3,0)</f>
        <v>0.4</v>
      </c>
      <c r="E14" s="9">
        <f>VLOOKUP(RIGHT($B14,8),'Điểm thực hành các buổi'!$B$3:$F$16,4,0)</f>
        <v>0.4</v>
      </c>
      <c r="F14" s="9">
        <f>VLOOKUP(RIGHT($B14,8),'Điểm thực hành các buổi'!$B$3:$F$16,5,0)</f>
        <v>0.35</v>
      </c>
      <c r="G14" s="9">
        <f>VLOOKUP(RIGHT($B14,8),'Điểm bài tập lớn'!$B$3:$D$16,3,0)</f>
        <v>1.35</v>
      </c>
      <c r="H14" s="19">
        <f>VLOOKUP(RIGHT($B14,8),'Điểm lý thuyết'!$B$3:$D$16,3,0)</f>
        <v>-3</v>
      </c>
      <c r="I14" s="9">
        <f t="shared" si="0"/>
        <v>0</v>
      </c>
      <c r="J14" s="20">
        <f>ROUND(IF(OR(G14=0,VALUE(LEFT(B14,1))&gt;2),0,I14+VLOOKUP(VALUE(LEFT(B14,1)),'Các bảng tham chiếu &amp; Thống kê'!$E$3:$F$5,2,FALSE)),1)</f>
        <v>0</v>
      </c>
      <c r="K14" s="20" t="str">
        <f>VLOOKUP(J14,'Các bảng tham chiếu &amp; Thống kê'!$A$3:$B$10,2,TRUE)</f>
        <v>F</v>
      </c>
    </row>
    <row r="15" spans="1:11" ht="17.25" hidden="1" customHeight="1" x14ac:dyDescent="0.3">
      <c r="A15" s="3">
        <v>14</v>
      </c>
      <c r="B15" s="2" t="s">
        <v>35</v>
      </c>
      <c r="C15" s="10" t="str">
        <f>VLOOKUP(RIGHT(B15,8),'Các bảng tham chiếu &amp; Thống kê'!$B$14:$D$27,2,0)</f>
        <v>Nguyễn Duy Khanh</v>
      </c>
      <c r="D15" s="9">
        <f>VLOOKUP(RIGHT(B15,8),'Điểm thực hành các buổi'!$B$3:$F$16,3,0)</f>
        <v>0.35</v>
      </c>
      <c r="E15" s="9">
        <f>VLOOKUP(RIGHT($B15,8),'Điểm thực hành các buổi'!$B$3:$F$16,4,0)</f>
        <v>0.4</v>
      </c>
      <c r="F15" s="9">
        <f>VLOOKUP(RIGHT($B15,8),'Điểm thực hành các buổi'!$B$3:$F$16,5,0)</f>
        <v>0</v>
      </c>
      <c r="G15" s="9">
        <f>VLOOKUP(RIGHT($B15,8),'Điểm bài tập lớn'!$B$3:$D$16,3,0)</f>
        <v>0.85</v>
      </c>
      <c r="H15" s="19">
        <f>VLOOKUP(RIGHT($B15,8),'Điểm lý thuyết'!$B$3:$D$16,3,0)</f>
        <v>6.5</v>
      </c>
      <c r="I15" s="9">
        <f t="shared" si="0"/>
        <v>5.5</v>
      </c>
      <c r="J15" s="20">
        <f>ROUND(IF(OR(G15=0,VALUE(LEFT(B15,1))&gt;2),0,I15+VLOOKUP(VALUE(LEFT(B15,1)),'Các bảng tham chiếu &amp; Thống kê'!$E$3:$F$5,2,FALSE)),1)</f>
        <v>6.5</v>
      </c>
      <c r="K15" s="20" t="str">
        <f>VLOOKUP(J15,'Các bảng tham chiếu &amp; Thống kê'!$A$3:$B$10,2,TRUE)</f>
        <v>C+</v>
      </c>
    </row>
  </sheetData>
  <autoFilter ref="A1:K15" xr:uid="{C0581EE1-F8FC-426A-A088-8BA8E2623F22}">
    <filterColumn colId="9">
      <customFilters>
        <customFilter operator="greaterThanOrEqual" val="7"/>
      </customFilters>
    </filterColumn>
    <filterColumn colId="10">
      <filters>
        <filter val="B+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điểm&lt;7 </vt:lpstr>
      <vt:lpstr>Sinh viên điểm&gt;=7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Huy Tân Trần Nguyễn</cp:lastModifiedBy>
  <cp:revision/>
  <dcterms:created xsi:type="dcterms:W3CDTF">2026-09-24T01:08:30Z</dcterms:created>
  <dcterms:modified xsi:type="dcterms:W3CDTF">2026-09-25T10:54:44Z</dcterms:modified>
  <cp:category/>
  <cp:contentStatus/>
</cp:coreProperties>
</file>